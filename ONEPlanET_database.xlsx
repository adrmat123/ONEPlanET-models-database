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Y:\PRIVADO\PROYECTOS LABORATORIO\05.V.20 ONEPlanET\4-Documentacion tecnica\4.5 Desarrollo\WP2_Nexus common modelling framework\Deliverables\Deli 2.3\"/>
    </mc:Choice>
  </mc:AlternateContent>
  <xr:revisionPtr revIDLastSave="0" documentId="13_ncr:1_{9ED46F65-5336-46AD-8D4C-5C1AED91C718}" xr6:coauthVersionLast="36" xr6:coauthVersionMax="36" xr10:uidLastSave="{00000000-0000-0000-0000-000000000000}"/>
  <bookViews>
    <workbookView xWindow="0" yWindow="0" windowWidth="15264" windowHeight="8064" tabRatio="613" xr2:uid="{4B9FCD05-D901-4CE4-872E-8AE05DC39D5C}"/>
  </bookViews>
  <sheets>
    <sheet name="0.Cover page" sheetId="3" r:id="rId1"/>
    <sheet name="1.IUWMA Overview" sheetId="1" r:id="rId2"/>
    <sheet name="2.IUWMA Energy_MP" sheetId="4" r:id="rId3"/>
    <sheet name="3.IUWMA Water_MP" sheetId="2" r:id="rId4"/>
    <sheet name="4.IUWMA Land_MP" sheetId="5" r:id="rId5"/>
    <sheet name="5.IUWMA Economic_MP" sheetId="6" r:id="rId6"/>
    <sheet name="6.IUWMA Population_MP" sheetId="7" r:id="rId7"/>
    <sheet name="7.Songwe Overview" sheetId="8" r:id="rId8"/>
    <sheet name="9.Songwe Water_MP" sheetId="10" r:id="rId9"/>
    <sheet name="10.Songwe Land_MP" sheetId="9" r:id="rId10"/>
    <sheet name="11.Songwe Economic_MP" sheetId="11" r:id="rId11"/>
    <sheet name="12.Songwe Population_MP" sheetId="12" r:id="rId12"/>
    <sheet name="13.Bani Overview" sheetId="13" r:id="rId13"/>
    <sheet name="14.Bani Energy_MP" sheetId="14" r:id="rId14"/>
    <sheet name="15.Bani Water_MP" sheetId="17" r:id="rId15"/>
    <sheet name="16.Bani Land_MP" sheetId="18" r:id="rId16"/>
    <sheet name="17.Bani Economic_MP" sheetId="15" r:id="rId17"/>
    <sheet name="18.Bani Population_MP" sheetId="16" r:id="rId18"/>
  </sheets>
  <externalReferences>
    <externalReference r:id="rId19"/>
  </externalReferences>
  <definedNames>
    <definedName name="BIRTH_RATIO">'6.IUWMA Population_MP'!$C$319:$H$320</definedName>
    <definedName name="COMPENSATION_OF_EMPLOYEES_CTE">'5.IUWMA Economic_MP'!$J$34</definedName>
    <definedName name="EXPECTED_LABOUR_SHARE">#REF!</definedName>
    <definedName name="EXPECTED_SECTOR_SHARE">#REF!</definedName>
    <definedName name="FEMALE_MORTALITY">'6.IUWMA Population_MP'!$C$109:$H$209</definedName>
    <definedName name="FERTILITY_RATE">'6.IUWMA Population_MP'!$C$4:$H$104</definedName>
    <definedName name="GOVERNMENT_EXPENDITURE">'5.IUWMA Economic_MP'!$J$23:$O$23</definedName>
    <definedName name="GOVERNMENT_EXPENDITURE_SP">#REF!</definedName>
    <definedName name="HH_CONSUMPTION">'5.IUWMA Economic_MP'!$J$24:$O$24</definedName>
    <definedName name="HISTORICAL_TAXES_LESS_SUBSIDIES">'5.IUWMA Economic_MP'!$J$8:$O$8</definedName>
    <definedName name="INITIAL_POPULATION">'6.IUWMA Population_MP'!$D$331:$CZ$332</definedName>
    <definedName name="INVESTMENT">'5.IUWMA Economic_MP'!$J$45:$O$45</definedName>
    <definedName name="INVESTMENT_SP">#REF!</definedName>
    <definedName name="LABOUR_SHARE">'5.IUWMA Economic_MP'!$J$29:$O$29</definedName>
    <definedName name="MALE_MORTALITY">'6.IUWMA Population_MP'!$C$214:$H$314</definedName>
    <definedName name="NET_EXPORTS">'5.IUWMA Economic_MP'!$J$61:$O$61</definedName>
    <definedName name="SCENARIO_TIME_ECO">#REF!</definedName>
    <definedName name="SCENARIO_TIME_POP">'6.IUWMA Population_MP'!$F$336:$AI$336</definedName>
    <definedName name="SECTOR_SHARE">'5.IUWMA Economic_MP'!$J$14:$O$17</definedName>
    <definedName name="SECTOR_SHARE_SP">#REF!</definedName>
    <definedName name="SSP1_POPULATION">'6.IUWMA Population_MP'!$F$338:$AI$338</definedName>
    <definedName name="SSP2_POPULATION">'6.IUWMA Population_MP'!$F$337:$AI$337</definedName>
    <definedName name="SSP3_POPULATION">'6.IUWMA Population_MP'!$F$339:$AI$339</definedName>
    <definedName name="SSP4_POPULATION">'6.IUWMA Population_MP'!$F$340:$AI$340</definedName>
    <definedName name="SSP5_POPULATION">'6.IUWMA Population_MP'!$F$341:$AI$341</definedName>
    <definedName name="TAXES_LESS_SUBSIDES_SHARE" localSheetId="6">[1]Economic_MP!#REF!</definedName>
    <definedName name="TAXES_LESS_SUBSIDES_SHARE">'5.IUWMA Economic_MP'!#REF!</definedName>
    <definedName name="TAXES_LESS_SUBSIDES_SHARE_SP">#REF!</definedName>
    <definedName name="TAXES_LESS_SUBSIDES_SP">#REF!</definedName>
    <definedName name="TIME_ECO">'5.IUWMA Economic_MP'!$J$44:$O$44</definedName>
    <definedName name="TIME_POP">'6.IUWMA Population_MP'!$C$213:$H$213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00" i="18" l="1"/>
  <c r="I200" i="18" s="1"/>
  <c r="J200" i="18" s="1"/>
  <c r="K200" i="18" s="1"/>
  <c r="L200" i="18" s="1"/>
  <c r="G200" i="18"/>
  <c r="E77" i="15" l="1"/>
  <c r="Q76" i="15"/>
  <c r="P76" i="15"/>
  <c r="O76" i="15"/>
  <c r="N76" i="15"/>
  <c r="M76" i="15"/>
  <c r="L76" i="15"/>
  <c r="K76" i="15"/>
  <c r="J76" i="15"/>
  <c r="I76" i="15"/>
  <c r="I77" i="15" s="1"/>
  <c r="H76" i="15"/>
  <c r="H77" i="15" s="1"/>
  <c r="G76" i="15"/>
  <c r="G77" i="15" s="1"/>
  <c r="F76" i="15"/>
  <c r="F77" i="15" s="1"/>
  <c r="Q66" i="15"/>
  <c r="P66" i="15"/>
  <c r="O66" i="15"/>
  <c r="N66" i="15"/>
  <c r="M66" i="15"/>
  <c r="L66" i="15"/>
  <c r="K66" i="15"/>
  <c r="I66" i="15"/>
  <c r="H66" i="15"/>
  <c r="G66" i="15"/>
  <c r="F66" i="15"/>
  <c r="I56" i="15"/>
  <c r="G56" i="15"/>
  <c r="Q55" i="15"/>
  <c r="P55" i="15"/>
  <c r="O55" i="15"/>
  <c r="N55" i="15"/>
  <c r="M55" i="15"/>
  <c r="L55" i="15"/>
  <c r="K55" i="15"/>
  <c r="J55" i="15"/>
  <c r="I55" i="15"/>
  <c r="H55" i="15"/>
  <c r="H56" i="15" s="1"/>
  <c r="G55" i="15"/>
  <c r="F55" i="15"/>
  <c r="F56" i="15" s="1"/>
  <c r="E55" i="15"/>
  <c r="E56" i="15" s="1"/>
  <c r="K40" i="15"/>
  <c r="I40" i="15"/>
  <c r="F40" i="15"/>
  <c r="Q39" i="15"/>
  <c r="Q40" i="15" s="1"/>
  <c r="P39" i="15"/>
  <c r="P40" i="15" s="1"/>
  <c r="O39" i="15"/>
  <c r="O40" i="15" s="1"/>
  <c r="N39" i="15"/>
  <c r="N40" i="15" s="1"/>
  <c r="M39" i="15"/>
  <c r="M40" i="15" s="1"/>
  <c r="L39" i="15"/>
  <c r="L40" i="15" s="1"/>
  <c r="K39" i="15"/>
  <c r="J39" i="15"/>
  <c r="J40" i="15" s="1"/>
  <c r="I39" i="15"/>
  <c r="H39" i="15"/>
  <c r="H40" i="15" s="1"/>
  <c r="G39" i="15"/>
  <c r="G40" i="15" s="1"/>
  <c r="F39" i="15"/>
  <c r="E39" i="15"/>
  <c r="E40" i="15" s="1"/>
  <c r="Q34" i="15"/>
  <c r="P34" i="15"/>
  <c r="O34" i="15"/>
  <c r="N34" i="15"/>
  <c r="M34" i="15"/>
  <c r="L34" i="15"/>
  <c r="K34" i="15"/>
  <c r="J34" i="15"/>
  <c r="I34" i="15"/>
  <c r="H34" i="15"/>
  <c r="G34" i="15"/>
  <c r="F34" i="15"/>
  <c r="E34" i="15"/>
  <c r="Q18" i="15"/>
  <c r="P18" i="15"/>
  <c r="O18" i="15"/>
  <c r="N18" i="15"/>
  <c r="M18" i="15"/>
  <c r="L18" i="15"/>
  <c r="K18" i="15"/>
  <c r="J18" i="15"/>
  <c r="I18" i="15"/>
  <c r="H18" i="15"/>
  <c r="G18" i="15"/>
  <c r="F18" i="15"/>
  <c r="E18" i="15"/>
  <c r="Q17" i="15"/>
  <c r="P17" i="15"/>
  <c r="O17" i="15"/>
  <c r="N17" i="15"/>
  <c r="M17" i="15"/>
  <c r="L17" i="15"/>
  <c r="K17" i="15"/>
  <c r="J17" i="15"/>
  <c r="I17" i="15"/>
  <c r="H17" i="15"/>
  <c r="G17" i="15"/>
  <c r="F17" i="15"/>
  <c r="E17" i="15"/>
  <c r="Q16" i="15"/>
  <c r="P16" i="15"/>
  <c r="O16" i="15"/>
  <c r="N16" i="15"/>
  <c r="M16" i="15"/>
  <c r="L16" i="15"/>
  <c r="K16" i="15"/>
  <c r="J16" i="15"/>
  <c r="I16" i="15"/>
  <c r="H16" i="15"/>
  <c r="G16" i="15"/>
  <c r="F16" i="15"/>
  <c r="E16" i="15"/>
  <c r="Q15" i="15"/>
  <c r="P15" i="15"/>
  <c r="O15" i="15"/>
  <c r="N15" i="15"/>
  <c r="M15" i="15"/>
  <c r="L15" i="15"/>
  <c r="K15" i="15"/>
  <c r="J15" i="15"/>
  <c r="I15" i="15"/>
  <c r="H15" i="15"/>
  <c r="G15" i="15"/>
  <c r="F15" i="15"/>
  <c r="E15" i="15"/>
  <c r="Q14" i="15"/>
  <c r="P14" i="15"/>
  <c r="O14" i="15"/>
  <c r="N14" i="15"/>
  <c r="M14" i="15"/>
  <c r="L14" i="15"/>
  <c r="K14" i="15"/>
  <c r="J14" i="15"/>
  <c r="I14" i="15"/>
  <c r="H14" i="15"/>
  <c r="G14" i="15"/>
  <c r="F14" i="15"/>
  <c r="E14" i="15"/>
  <c r="F23" i="13"/>
  <c r="F22" i="13"/>
  <c r="H21" i="13"/>
  <c r="F21" i="13"/>
  <c r="H20" i="13"/>
  <c r="F20" i="13"/>
  <c r="H19" i="13"/>
  <c r="F19" i="13"/>
  <c r="H18" i="13"/>
  <c r="F18" i="13"/>
  <c r="H17" i="13"/>
  <c r="F17" i="13"/>
  <c r="H16" i="13"/>
  <c r="F16" i="13"/>
  <c r="H15" i="13"/>
  <c r="F15" i="13"/>
  <c r="H14" i="13"/>
  <c r="F14" i="13"/>
  <c r="E11" i="13"/>
  <c r="F10" i="13" s="1"/>
  <c r="D10" i="13"/>
  <c r="F9" i="13"/>
  <c r="D9" i="13"/>
  <c r="D8" i="13"/>
  <c r="F7" i="13"/>
  <c r="D7" i="13"/>
  <c r="D11" i="13" s="1"/>
  <c r="F8" i="13" l="1"/>
  <c r="F11" i="13" s="1"/>
  <c r="G77" i="11" l="1"/>
  <c r="F77" i="11"/>
  <c r="E77" i="11"/>
  <c r="Q76" i="11"/>
  <c r="P76" i="11"/>
  <c r="O76" i="11"/>
  <c r="N76" i="11"/>
  <c r="M76" i="11"/>
  <c r="L76" i="11"/>
  <c r="K76" i="11"/>
  <c r="J76" i="11"/>
  <c r="I76" i="11"/>
  <c r="I77" i="11" s="1"/>
  <c r="H76" i="11"/>
  <c r="H77" i="11" s="1"/>
  <c r="G76" i="11"/>
  <c r="F76" i="11"/>
  <c r="Q66" i="11"/>
  <c r="P66" i="11"/>
  <c r="O66" i="11"/>
  <c r="N66" i="11"/>
  <c r="M66" i="11"/>
  <c r="L66" i="11"/>
  <c r="K66" i="11"/>
  <c r="J66" i="11"/>
  <c r="I66" i="11"/>
  <c r="H66" i="11"/>
  <c r="G66" i="11"/>
  <c r="F66" i="11"/>
  <c r="Q55" i="11"/>
  <c r="P55" i="11"/>
  <c r="O55" i="11"/>
  <c r="N55" i="11"/>
  <c r="M55" i="11"/>
  <c r="L55" i="11"/>
  <c r="K55" i="11"/>
  <c r="J55" i="11"/>
  <c r="I55" i="11"/>
  <c r="I56" i="11" s="1"/>
  <c r="H55" i="11"/>
  <c r="H56" i="11" s="1"/>
  <c r="G55" i="11"/>
  <c r="G56" i="11" s="1"/>
  <c r="F55" i="11"/>
  <c r="F56" i="11" s="1"/>
  <c r="E55" i="11"/>
  <c r="E56" i="11" s="1"/>
  <c r="Q40" i="11"/>
  <c r="N40" i="11"/>
  <c r="M40" i="11"/>
  <c r="E40" i="11"/>
  <c r="Q39" i="11"/>
  <c r="P39" i="11"/>
  <c r="P40" i="11" s="1"/>
  <c r="O39" i="11"/>
  <c r="O40" i="11" s="1"/>
  <c r="N39" i="11"/>
  <c r="M39" i="11"/>
  <c r="L39" i="11"/>
  <c r="L40" i="11" s="1"/>
  <c r="K39" i="11"/>
  <c r="K40" i="11" s="1"/>
  <c r="J39" i="11"/>
  <c r="J40" i="11" s="1"/>
  <c r="I39" i="11"/>
  <c r="I40" i="11" s="1"/>
  <c r="H39" i="11"/>
  <c r="H40" i="11" s="1"/>
  <c r="G39" i="11"/>
  <c r="G40" i="11" s="1"/>
  <c r="F39" i="11"/>
  <c r="F40" i="11" s="1"/>
  <c r="E39" i="11"/>
  <c r="Q34" i="11"/>
  <c r="P34" i="11"/>
  <c r="O34" i="11"/>
  <c r="N34" i="11"/>
  <c r="M34" i="11"/>
  <c r="L34" i="11"/>
  <c r="K34" i="11"/>
  <c r="J34" i="11"/>
  <c r="I34" i="11"/>
  <c r="H34" i="11"/>
  <c r="G34" i="11"/>
  <c r="F34" i="11"/>
  <c r="E34" i="11"/>
  <c r="Q18" i="11"/>
  <c r="P18" i="11"/>
  <c r="O18" i="11"/>
  <c r="N18" i="11"/>
  <c r="M18" i="11"/>
  <c r="L18" i="11"/>
  <c r="K18" i="11"/>
  <c r="J18" i="11"/>
  <c r="I18" i="11"/>
  <c r="H18" i="11"/>
  <c r="G18" i="11"/>
  <c r="F18" i="11"/>
  <c r="E18" i="11"/>
  <c r="Q17" i="11"/>
  <c r="P17" i="11"/>
  <c r="O17" i="11"/>
  <c r="N17" i="11"/>
  <c r="M17" i="11"/>
  <c r="L17" i="11"/>
  <c r="K17" i="11"/>
  <c r="J17" i="11"/>
  <c r="I17" i="11"/>
  <c r="H17" i="11"/>
  <c r="G17" i="11"/>
  <c r="F17" i="11"/>
  <c r="E17" i="11"/>
  <c r="Q16" i="11"/>
  <c r="P16" i="11"/>
  <c r="O16" i="11"/>
  <c r="N16" i="11"/>
  <c r="M16" i="11"/>
  <c r="L16" i="11"/>
  <c r="K16" i="11"/>
  <c r="J16" i="11"/>
  <c r="I16" i="11"/>
  <c r="H16" i="11"/>
  <c r="G16" i="11"/>
  <c r="F16" i="11"/>
  <c r="E16" i="11"/>
  <c r="Q15" i="11"/>
  <c r="P15" i="11"/>
  <c r="O15" i="11"/>
  <c r="N15" i="11"/>
  <c r="M15" i="11"/>
  <c r="L15" i="11"/>
  <c r="K15" i="11"/>
  <c r="J15" i="11"/>
  <c r="I15" i="11"/>
  <c r="H15" i="11"/>
  <c r="G15" i="11"/>
  <c r="F15" i="11"/>
  <c r="E15" i="11"/>
  <c r="Q14" i="11"/>
  <c r="P14" i="11"/>
  <c r="O14" i="11"/>
  <c r="N14" i="11"/>
  <c r="M14" i="11"/>
  <c r="L14" i="11"/>
  <c r="K14" i="11"/>
  <c r="J14" i="11"/>
  <c r="I14" i="11"/>
  <c r="H14" i="11"/>
  <c r="G14" i="11"/>
  <c r="F14" i="11"/>
  <c r="E14" i="11"/>
  <c r="E37" i="10" l="1"/>
  <c r="G164" i="9" l="1"/>
  <c r="H164" i="9" s="1"/>
  <c r="I164" i="9" s="1"/>
  <c r="J164" i="9" s="1"/>
  <c r="K164" i="9" s="1"/>
  <c r="L164" i="9" s="1"/>
  <c r="R25" i="9"/>
  <c r="Q25" i="9"/>
  <c r="F9" i="8"/>
  <c r="E9" i="8"/>
  <c r="C9" i="8"/>
  <c r="D8" i="8" s="1"/>
  <c r="D7" i="8" l="1"/>
  <c r="D9" i="8" s="1"/>
  <c r="E77" i="6"/>
  <c r="I76" i="6"/>
  <c r="I77" i="6" s="1"/>
  <c r="H76" i="6"/>
  <c r="H77" i="6" s="1"/>
  <c r="G76" i="6"/>
  <c r="G77" i="6" s="1"/>
  <c r="F76" i="6"/>
  <c r="F77" i="6" s="1"/>
  <c r="J66" i="6"/>
  <c r="I66" i="6"/>
  <c r="H66" i="6"/>
  <c r="G66" i="6"/>
  <c r="F66" i="6"/>
  <c r="I56" i="6"/>
  <c r="H56" i="6"/>
  <c r="G56" i="6"/>
  <c r="F56" i="6"/>
  <c r="E56" i="6"/>
  <c r="I40" i="6"/>
  <c r="H40" i="6"/>
  <c r="G40" i="6"/>
  <c r="F40" i="6"/>
  <c r="E40" i="6"/>
  <c r="I34" i="6"/>
  <c r="H34" i="6"/>
  <c r="G34" i="6"/>
  <c r="F34" i="6"/>
  <c r="E34" i="6"/>
  <c r="J18" i="6"/>
  <c r="I18" i="6"/>
  <c r="H18" i="6"/>
  <c r="G18" i="6"/>
  <c r="J17" i="6"/>
  <c r="I17" i="6"/>
  <c r="H17" i="6"/>
  <c r="K16" i="6"/>
  <c r="J16" i="6"/>
  <c r="I16" i="6"/>
  <c r="K15" i="6"/>
  <c r="J15" i="6"/>
  <c r="K14" i="6"/>
  <c r="Q9" i="6"/>
  <c r="Q34" i="6" s="1"/>
  <c r="P9" i="6"/>
  <c r="P34" i="6" s="1"/>
  <c r="O9" i="6"/>
  <c r="O34" i="6" s="1"/>
  <c r="N9" i="6"/>
  <c r="N34" i="6" s="1"/>
  <c r="M9" i="6"/>
  <c r="M34" i="6" s="1"/>
  <c r="L9" i="6"/>
  <c r="L34" i="6" s="1"/>
  <c r="K9" i="6"/>
  <c r="K18" i="6" s="1"/>
  <c r="J9" i="6"/>
  <c r="F18" i="6" s="1"/>
  <c r="L15" i="6" l="1"/>
  <c r="Q14" i="6"/>
  <c r="N14" i="6"/>
  <c r="L16" i="6"/>
  <c r="K17" i="6"/>
  <c r="O14" i="6"/>
  <c r="M16" i="6"/>
  <c r="L17" i="6"/>
  <c r="P14" i="6"/>
  <c r="N16" i="6"/>
  <c r="L18" i="6"/>
  <c r="K34" i="6"/>
  <c r="O16" i="6"/>
  <c r="L14" i="6"/>
  <c r="M14" i="6"/>
  <c r="M15" i="6"/>
  <c r="N15" i="6"/>
  <c r="J34" i="6"/>
  <c r="O15" i="6"/>
  <c r="M17" i="6"/>
  <c r="E14" i="6"/>
  <c r="P15" i="6"/>
  <c r="N17" i="6"/>
  <c r="M18" i="6"/>
  <c r="F14" i="6"/>
  <c r="E15" i="6"/>
  <c r="Q15" i="6"/>
  <c r="P16" i="6"/>
  <c r="O17" i="6"/>
  <c r="N18" i="6"/>
  <c r="G14" i="6"/>
  <c r="F15" i="6"/>
  <c r="E16" i="6"/>
  <c r="Q16" i="6"/>
  <c r="P17" i="6"/>
  <c r="O18" i="6"/>
  <c r="H14" i="6"/>
  <c r="G15" i="6"/>
  <c r="F16" i="6"/>
  <c r="E17" i="6"/>
  <c r="Q17" i="6"/>
  <c r="P18" i="6"/>
  <c r="I14" i="6"/>
  <c r="H15" i="6"/>
  <c r="G16" i="6"/>
  <c r="F17" i="6"/>
  <c r="E18" i="6"/>
  <c r="Q18" i="6"/>
  <c r="J14" i="6"/>
  <c r="I15" i="6"/>
  <c r="H16" i="6"/>
  <c r="G17" i="6"/>
  <c r="I147" i="5" l="1"/>
  <c r="J147" i="5" s="1"/>
  <c r="K147" i="5" s="1"/>
  <c r="L147" i="5" s="1"/>
  <c r="H147" i="5"/>
  <c r="G147" i="5"/>
  <c r="E163" i="4" l="1"/>
  <c r="E161" i="4"/>
  <c r="E160" i="4"/>
  <c r="E78" i="4"/>
  <c r="G15" i="1" l="1"/>
  <c r="F8" i="1"/>
  <c r="E8" i="1"/>
  <c r="C8" i="1"/>
  <c r="D7" i="1"/>
  <c r="D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 Pérez Pérez</author>
    <author>Adrián Mateo Martínez</author>
  </authors>
  <commentList>
    <comment ref="E162" authorId="0" shapeId="0" xr:uid="{402404B0-E41E-4868-90DD-7B7B3E0601E9}">
      <text>
        <r>
          <rPr>
            <b/>
            <sz val="9"/>
            <color indexed="81"/>
            <rFont val="Tahoma"/>
            <family val="2"/>
          </rPr>
          <t>Sara Pérez Pérez:</t>
        </r>
        <r>
          <rPr>
            <sz val="9"/>
            <color indexed="81"/>
            <rFont val="Tahoma"/>
            <family val="2"/>
          </rPr>
          <t xml:space="preserve">
https://pure.rug.nl/ws/portalfiles/portal/657046195/1_s2.0_S0959652623011034_main.pdf</t>
        </r>
      </text>
    </comment>
    <comment ref="E176" authorId="0" shapeId="0" xr:uid="{D62FA958-C925-487F-90AD-10D917D782AD}">
      <text>
        <r>
          <rPr>
            <b/>
            <sz val="9"/>
            <color indexed="81"/>
            <rFont val="Tahoma"/>
            <family val="2"/>
          </rPr>
          <t>Sara Pérez Pérez:</t>
        </r>
        <r>
          <rPr>
            <sz val="9"/>
            <color indexed="81"/>
            <rFont val="Tahoma"/>
            <family val="2"/>
          </rPr>
          <t xml:space="preserve">
Martin, B., Fischer, R., 2012. The Energy-Water Nexus: Energy Demands on Water Resources. EMG Water and Climate Change Research Series, Cape Town.
https://old.groundwork.org.za/archives/2012/ClimateHealthRoundtables/water-energy-nexus.pdf</t>
        </r>
      </text>
    </comment>
    <comment ref="A213" authorId="1" shapeId="0" xr:uid="{C3DD6ADD-85E9-4A6D-B034-5AD27467D585}">
      <text>
        <r>
          <rPr>
            <b/>
            <sz val="9"/>
            <color indexed="81"/>
            <rFont val="Tahoma"/>
            <family val="2"/>
          </rPr>
          <t>Adrián Mateo Martínez:</t>
        </r>
        <r>
          <rPr>
            <sz val="9"/>
            <color indexed="81"/>
            <rFont val="Tahoma"/>
            <family val="2"/>
          </rPr>
          <t xml:space="preserve">
Assumed to be null according to SH</t>
        </r>
      </text>
    </comment>
    <comment ref="A219" authorId="1" shapeId="0" xr:uid="{2416713F-9A2A-44B6-A1AC-FFD5FE6AA40B}">
      <text>
        <r>
          <rPr>
            <b/>
            <sz val="9"/>
            <color indexed="81"/>
            <rFont val="Tahoma"/>
            <family val="2"/>
          </rPr>
          <t>Adrián Mateo Martínez:</t>
        </r>
        <r>
          <rPr>
            <sz val="9"/>
            <color indexed="81"/>
            <rFont val="Tahoma"/>
            <family val="2"/>
          </rPr>
          <t xml:space="preserve">
Assumed to be null according to SH</t>
        </r>
      </text>
    </comment>
    <comment ref="A225" authorId="1" shapeId="0" xr:uid="{F75CEB0A-E1CD-443D-B29A-4F4C606DACBC}">
      <text>
        <r>
          <rPr>
            <b/>
            <sz val="9"/>
            <color indexed="81"/>
            <rFont val="Tahoma"/>
            <family val="2"/>
          </rPr>
          <t>Adrián Mateo Martínez:</t>
        </r>
        <r>
          <rPr>
            <sz val="9"/>
            <color indexed="81"/>
            <rFont val="Tahoma"/>
            <family val="2"/>
          </rPr>
          <t xml:space="preserve">
Assumed to be null according to 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Adrián Mateo Martínez</author>
  </authors>
  <commentList>
    <comment ref="A331" authorId="0" shapeId="0" xr:uid="{B7C73986-AB23-42DE-B32C-B25D51410637}">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IUWMA total population.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Adrián Mateo Martínez</author>
  </authors>
  <commentList>
    <comment ref="A331" authorId="0" shapeId="0" xr:uid="{A5D00C88-5DDF-4BDA-ADFD-80A06383BFCE}">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SONGWE total population.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Adrián Mateo Martínez</author>
  </authors>
  <commentList>
    <comment ref="A331" authorId="0" shapeId="0" xr:uid="{DA0C8112-D5D5-4AC7-A716-600EF4293DEF}">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SONGWE total population.</t>
        </r>
      </text>
    </comment>
  </commentList>
</comments>
</file>

<file path=xl/sharedStrings.xml><?xml version="1.0" encoding="utf-8"?>
<sst xmlns="http://schemas.openxmlformats.org/spreadsheetml/2006/main" count="2284" uniqueCount="545">
  <si>
    <t>Inkomati-Usuthu</t>
  </si>
  <si>
    <t>Countries: South Africa</t>
  </si>
  <si>
    <t>Area (km2)</t>
  </si>
  <si>
    <t>Area (%)</t>
  </si>
  <si>
    <t>Population (inhab)</t>
  </si>
  <si>
    <t>Population (%)</t>
  </si>
  <si>
    <t>South Africa</t>
  </si>
  <si>
    <t>Total</t>
  </si>
  <si>
    <t>Interface</t>
  </si>
  <si>
    <t>Inhabited Area (km2)</t>
  </si>
  <si>
    <t>%Pop by interf</t>
  </si>
  <si>
    <t>ElecPop (inhab)</t>
  </si>
  <si>
    <t>%Pob_elect_interface</t>
  </si>
  <si>
    <t>Mean luminance</t>
  </si>
  <si>
    <t>%Pob_elect_total</t>
  </si>
  <si>
    <t>Basin
IUWMA</t>
  </si>
  <si>
    <t>Rural</t>
  </si>
  <si>
    <t>Peri-urban</t>
  </si>
  <si>
    <t>Urban</t>
  </si>
  <si>
    <t>CROP WATER REQUIREMENTS</t>
  </si>
  <si>
    <t>Sources</t>
  </si>
  <si>
    <t>Description</t>
  </si>
  <si>
    <t>Units</t>
  </si>
  <si>
    <t>Value</t>
  </si>
  <si>
    <t>MAIZE</t>
  </si>
  <si>
    <t>m3/ha</t>
  </si>
  <si>
    <t>LIVESTOCK WATER REQUIREMENTS</t>
  </si>
  <si>
    <t>Drastig et al., 2021 (FAO)</t>
  </si>
  <si>
    <t>m3/head·yr</t>
  </si>
  <si>
    <t>CHICKEN</t>
  </si>
  <si>
    <t>WATER CONSUMPTION PER CAPITA</t>
  </si>
  <si>
    <t>DOMESTIC WATER WITHDRAWAL PER CAPITA</t>
  </si>
  <si>
    <t>AQUASTAT</t>
  </si>
  <si>
    <t>m3/cap·yr</t>
  </si>
  <si>
    <t>TOTAL WATER WITHDRAWAL PER CAPITA</t>
  </si>
  <si>
    <t>AVAILABLE WATER</t>
  </si>
  <si>
    <t>HYDRORIVERS</t>
  </si>
  <si>
    <t>GIS data calculated with the average discharge of the rivers in the basin (m3/s), measured at the final outlet to avoid double counting and converted to m3/year.</t>
  </si>
  <si>
    <t>m3</t>
  </si>
  <si>
    <t>DAMS</t>
  </si>
  <si>
    <t>GLOBAL DAM WATCH</t>
  </si>
  <si>
    <t>GIS data</t>
  </si>
  <si>
    <t>HYDROLAKES</t>
  </si>
  <si>
    <t>GROUNDWATER (AQUIFERS)</t>
  </si>
  <si>
    <t>WHYMAP</t>
  </si>
  <si>
    <t>GIS data. Value obtained with the average recharge values over aquifers (mm) of each type of groundwater system multiplied by its corresponding surface area. Aquifers coinciding with lakes have been discarded to avoid double counting.</t>
  </si>
  <si>
    <t>TOTAL</t>
  </si>
  <si>
    <t>Link</t>
  </si>
  <si>
    <t>https://data.apps.fao.org/aquastat/?lang=en</t>
  </si>
  <si>
    <t>https://openknowledge.fao.org/server/api/core/bitstreams/2a30f51b-ce97-4e18-a8cf-e80ea0e8892c/content</t>
  </si>
  <si>
    <t>https://www.hydrosheds.org/products/hydrorivers</t>
  </si>
  <si>
    <t>https://www.globaldamwatch.org/</t>
  </si>
  <si>
    <t>https://www.hydrosheds.org/products/hydrolakes</t>
  </si>
  <si>
    <t>https://www.whymap.org/whymap/EN/Home/whymap_node.html</t>
  </si>
  <si>
    <t>SOY</t>
  </si>
  <si>
    <t>SUGARCANE</t>
  </si>
  <si>
    <t>CROPWAT 8.0</t>
  </si>
  <si>
    <t>https://www.fao.org/land-water/databases-and-software/cropwat/en/</t>
  </si>
  <si>
    <t>Water requirements of irrigated crops in South Africa</t>
  </si>
  <si>
    <t>DIARY CATTLE</t>
  </si>
  <si>
    <t>OTHER CATTLE</t>
  </si>
  <si>
    <t>Wagner &amp; Engle, 2021</t>
  </si>
  <si>
    <t>https://doi.org/10.15232/aas.2021-02136</t>
  </si>
  <si>
    <t>Wagner &amp; Engle, 2021
Drastig et al., 2021 (FAO)</t>
  </si>
  <si>
    <t xml:space="preserve">Water requirements from different livestock </t>
  </si>
  <si>
    <t>Data obtained from national values, adjusted to the CS population</t>
  </si>
  <si>
    <t>SURFACE WATER</t>
  </si>
  <si>
    <t xml:space="preserve">Open source Nexus modelling tools for </t>
  </si>
  <si>
    <t>Planning sustainable Energy Transition in Africa</t>
  </si>
  <si>
    <t>Due date of deliverable: 30.04.2025</t>
  </si>
  <si>
    <t>Actual submission date: 31.05.2025</t>
  </si>
  <si>
    <t>The project has received funding from the European Union, grant agreement number 101084127</t>
  </si>
  <si>
    <t>TECHNICAL PARAMETERS OF POWER STAGES</t>
  </si>
  <si>
    <t>TIME CONSTRUCTION</t>
  </si>
  <si>
    <t>PV</t>
  </si>
  <si>
    <t>yr</t>
  </si>
  <si>
    <t>WIND</t>
  </si>
  <si>
    <t>HYDRO</t>
  </si>
  <si>
    <t>BIOMASS PP</t>
  </si>
  <si>
    <t>COAL PP</t>
  </si>
  <si>
    <t>GAS PP</t>
  </si>
  <si>
    <t>OIL</t>
  </si>
  <si>
    <t xml:space="preserve">INITIAL TIME CONSTRUCTION </t>
  </si>
  <si>
    <t xml:space="preserve">Necessary to initialise the "construction stock" </t>
  </si>
  <si>
    <t>LIFETIME</t>
  </si>
  <si>
    <t>INITIAL LIFETIME</t>
  </si>
  <si>
    <t>Necessary to initialise the "instalation stock"</t>
  </si>
  <si>
    <t>TIME PLAN</t>
  </si>
  <si>
    <t>INITIAL TIME PLAN</t>
  </si>
  <si>
    <t>Necessary to initialise the "plan stock"</t>
  </si>
  <si>
    <t>INITIAL STOCK VALUES</t>
  </si>
  <si>
    <t>INITIAL INSTALLED</t>
  </si>
  <si>
    <t>GEM - Power Plant Tracker
Global Power Plant Database</t>
  </si>
  <si>
    <t>Capacity already installed in the CS</t>
  </si>
  <si>
    <t>MW</t>
  </si>
  <si>
    <t>INITIAL CONSTRUCTION</t>
  </si>
  <si>
    <t>Capacity under construction in the CS</t>
  </si>
  <si>
    <t>INITIAL PLANNED</t>
  </si>
  <si>
    <t>Planned capacity in the CS</t>
  </si>
  <si>
    <t>INITIAL POTENTIAL</t>
  </si>
  <si>
    <t>Global Solar Atlas</t>
  </si>
  <si>
    <t>GIS data at national level, downscaled by CS area</t>
  </si>
  <si>
    <t>Global Wind Atlas</t>
  </si>
  <si>
    <t>Global Dam Watch</t>
  </si>
  <si>
    <t>Estimated by using dam heigths and average discharge flows. HP = density * g * heigth * flow</t>
  </si>
  <si>
    <t>South African Coal Sector Report</t>
  </si>
  <si>
    <t>Estimation based on national reserves and provincial coal production (80% of national values)</t>
  </si>
  <si>
    <t>* Coal reserves of the Mpumalanga province</t>
  </si>
  <si>
    <t>-</t>
  </si>
  <si>
    <t>OTHER PARAMETERS</t>
  </si>
  <si>
    <t>BASE EFFICIENCY</t>
  </si>
  <si>
    <t>Base efficiency of each technology</t>
  </si>
  <si>
    <t>dmnl</t>
  </si>
  <si>
    <t>CAPACITY FACTOR</t>
  </si>
  <si>
    <t>CSIR Energy Centre
CRSES</t>
  </si>
  <si>
    <t>Ratio of actual energy produced by a power plant to the maximum possible energy it could produce if it operated at full capacity</t>
  </si>
  <si>
    <t>TECHNICAL LIMIT PARTICIPATION IN THE GENERATION MIX</t>
  </si>
  <si>
    <t>Maximum share of a specific energy source that can be reliably integrated into the power system, considering technical constraints like grid stability, intermittency, and system flexibility</t>
  </si>
  <si>
    <t>WEF PARAMETERS</t>
  </si>
  <si>
    <t>CO2 EMISSION FACTORS</t>
  </si>
  <si>
    <t>Amount of CO₂ emitted per unit of energy produced by a power plant or fuel type</t>
  </si>
  <si>
    <t>kg CO2/GJ</t>
  </si>
  <si>
    <t>LAND OCCUPATION FACTOR</t>
  </si>
  <si>
    <t>Tshepang et al., 2022</t>
  </si>
  <si>
    <t xml:space="preserve"> Land area required per unit of energy generated, reflecting the spatial footprint of energy sources</t>
  </si>
  <si>
    <t>km2/MW</t>
  </si>
  <si>
    <t>WATER CONSUMED BY PP</t>
  </si>
  <si>
    <t>van Huyssteen et al., 2023</t>
  </si>
  <si>
    <t>Volume of water used (and not returned) during power plant operations, typically for cooling</t>
  </si>
  <si>
    <t>m3/MW</t>
  </si>
  <si>
    <t>FUEL EXTRACTION WATER FACTORS</t>
  </si>
  <si>
    <t>Fuel oil extraction involves the following processes:
· Coal: Extraction, Processing and Transport
· Oil: Extraction, Refining
· Natural gas: Extraction, Processing/ Purification, Storage and Transportation</t>
  </si>
  <si>
    <t>FINAL ENERGY CONSUMPTION (FEC)</t>
  </si>
  <si>
    <t>FEC BY SECTOR &amp; FUEL</t>
  </si>
  <si>
    <t>Industry</t>
  </si>
  <si>
    <t>AFREC - Energy Balances
IEA - Energy Systems
Provincial gross domestic product Report</t>
  </si>
  <si>
    <t>It has been calculated using the national FEC values and a ratio between the GDP by sector in the basin and the national GDP by sector, “Provincial gross domestic product: experimental estimates, 2013–2022” document and the GDP downscaling.</t>
  </si>
  <si>
    <t>J</t>
  </si>
  <si>
    <t xml:space="preserve">  LIQUIDS</t>
  </si>
  <si>
    <t xml:space="preserve">  SOLIDS</t>
  </si>
  <si>
    <t xml:space="preserve">  GAS</t>
  </si>
  <si>
    <t xml:space="preserve">  BIOMASS</t>
  </si>
  <si>
    <t xml:space="preserve">  ELECTRICITY</t>
  </si>
  <si>
    <t>Mining and Quarrying</t>
  </si>
  <si>
    <t>Agriculture, forestry and fishing</t>
  </si>
  <si>
    <t>Transport</t>
  </si>
  <si>
    <t>Commercial and public services</t>
  </si>
  <si>
    <t>Households</t>
  </si>
  <si>
    <t>WRI - Global Power Plant Database</t>
  </si>
  <si>
    <t>https://www.wri.org/research/global-database-power-plants</t>
  </si>
  <si>
    <t>Global Energy Monitor</t>
  </si>
  <si>
    <t>https://globalenergymonitor.org/projects/global-integrated-power-tracker/</t>
  </si>
  <si>
    <t>https://globalsolaratlas.info/download/south-africa</t>
  </si>
  <si>
    <t>https://globalwindatlas.info/en/</t>
  </si>
  <si>
    <t>https://www.dmre.gov.za/Portals/0/Energy_Website/files/media/explained/South-African-Coal-Sector-Report.pdf</t>
  </si>
  <si>
    <t>CSIR Energy  Centre</t>
  </si>
  <si>
    <t>https://www.csir.co.za/sites/default/files/Documents/Statistics%20of%20power%20in%20SA%202022-CSIR-%5BFINAL%5D.pdf</t>
  </si>
  <si>
    <t>CRSES</t>
  </si>
  <si>
    <t>https://www.crses.sun.ac.za/downloads/CRSES%20Website%20Energy%20Stats%20Document.pdf</t>
  </si>
  <si>
    <t>https://doi.org/10.1080/03736245.2022.2129769</t>
  </si>
  <si>
    <t>https://pure.rug.nl/ws/portalfiles/portal/657046195/1_s2.0_S0959652623011034_main.pdf</t>
  </si>
  <si>
    <t>Provincial gross domestic product</t>
  </si>
  <si>
    <t>https://www.statssa.gov.za/publications/D04411/D044112022.pdf</t>
  </si>
  <si>
    <t>AFREC - Energy Balances</t>
  </si>
  <si>
    <t>https://au-afrec.org/data-statistics-energy-balances</t>
  </si>
  <si>
    <t>IEA - Energy systems</t>
  </si>
  <si>
    <t>https://www.iea.org/countries/south-africa</t>
  </si>
  <si>
    <t>FOREST LOSS</t>
  </si>
  <si>
    <t>TREE COVER LOSS</t>
  </si>
  <si>
    <t>Global Forest Watch</t>
  </si>
  <si>
    <t>Tree cover loss. GIS data obtained by uploading the shapefile to the database and running the analysis</t>
  </si>
  <si>
    <t>ha</t>
  </si>
  <si>
    <t>SHARE OF TREE COVER LOSS</t>
  </si>
  <si>
    <t>FOREST-RELATED EMISSIONS</t>
  </si>
  <si>
    <t>GHG EMISSIONS</t>
  </si>
  <si>
    <t>GHG emissions. GIS data obtained by uploading the shapefile to the database and running the analysis</t>
  </si>
  <si>
    <t>MtCO2e</t>
  </si>
  <si>
    <t>CO2 EMISSIONS</t>
  </si>
  <si>
    <t>NON CO2 EMISSIONS</t>
  </si>
  <si>
    <t>ABOVEGROUND BIOMASS (AGB)</t>
  </si>
  <si>
    <t>TOTAL BIOMASS ABOVE GROUND</t>
  </si>
  <si>
    <t>CEDA ARCHIVE - ESACCI</t>
  </si>
  <si>
    <t>GIS data available in tonnes/ha/km2, then transformed to total AGB and to average AGB using the CS area. Data only available for 2010 and 2015-2021, so the missing data have been extrapolated</t>
  </si>
  <si>
    <t>tonnes</t>
  </si>
  <si>
    <t>MEAN BIOMASS ABOVE GROUND</t>
  </si>
  <si>
    <t>tonnes/ha</t>
  </si>
  <si>
    <t>BELOWGROUND BIOMASS (BGB)</t>
  </si>
  <si>
    <t>TOTAL BIOMASS BELOW GROUND</t>
  </si>
  <si>
    <t>CEDA ARCHIVE - ESACCI
IPCC Guidelines 2006/2019</t>
  </si>
  <si>
    <t>BGB = AGB * 0.26
Based on IPCC Guidelines (2006 / 2019 Refinement) -&gt; Grassland &amp; Shrubland : 0.20-0.37</t>
  </si>
  <si>
    <t>MEAN BIOMASS BELOW GROUND</t>
  </si>
  <si>
    <t>CO2 ABOVE GROUND</t>
  </si>
  <si>
    <t>TOTAL CO2 ABOVE GROUND</t>
  </si>
  <si>
    <t>BGB = AGB * 1.725
Based on IPCC Guidelines (2006 / 2019 Refinement)</t>
  </si>
  <si>
    <t>MEAN CO2 ABOVE GROUND</t>
  </si>
  <si>
    <t>RAINFED CROPLANDS</t>
  </si>
  <si>
    <t>Crops</t>
  </si>
  <si>
    <t>HARVESTED AREA</t>
  </si>
  <si>
    <t>banana</t>
  </si>
  <si>
    <t>MAPSPAM</t>
  </si>
  <si>
    <t>GIS data only available for 2010, 2017 and 2020.</t>
  </si>
  <si>
    <t>beans</t>
  </si>
  <si>
    <t>citrus</t>
  </si>
  <si>
    <t>cotton</t>
  </si>
  <si>
    <t>cowpea</t>
  </si>
  <si>
    <t>groundnuts</t>
  </si>
  <si>
    <t>maize</t>
  </si>
  <si>
    <t>other pulses</t>
  </si>
  <si>
    <t>other tropical fruits</t>
  </si>
  <si>
    <t>other vegetables</t>
  </si>
  <si>
    <t>pearl millet</t>
  </si>
  <si>
    <t>potato</t>
  </si>
  <si>
    <t>rest of crops</t>
  </si>
  <si>
    <t>sorghum</t>
  </si>
  <si>
    <t>soybean</t>
  </si>
  <si>
    <t>sugarcane</t>
  </si>
  <si>
    <t>sunflower</t>
  </si>
  <si>
    <t>sweet potato</t>
  </si>
  <si>
    <t>temperate fruits</t>
  </si>
  <si>
    <t>tobacco</t>
  </si>
  <si>
    <t>tomato</t>
  </si>
  <si>
    <t>wheat</t>
  </si>
  <si>
    <t>PRODUCTION</t>
  </si>
  <si>
    <t>YIELD</t>
  </si>
  <si>
    <t>IRRIGATED CROPLANDS</t>
  </si>
  <si>
    <t>GIS data only available for 2010, 2017 and 2020</t>
  </si>
  <si>
    <t>other cereals</t>
  </si>
  <si>
    <t>other oil crops</t>
  </si>
  <si>
    <t xml:space="preserve">LAND CLASS </t>
  </si>
  <si>
    <t>LCC class</t>
  </si>
  <si>
    <t>Source</t>
  </si>
  <si>
    <t>AGRICULTURE</t>
  </si>
  <si>
    <t>Rainfed cropland</t>
  </si>
  <si>
    <t>Copernicus</t>
  </si>
  <si>
    <t>GIS data available for 2016 onwards until 2022 on the land classes described in the IPCC</t>
  </si>
  <si>
    <t>Irrigated cropland</t>
  </si>
  <si>
    <t>Mosaic cropland</t>
  </si>
  <si>
    <t>Mosaic natural</t>
  </si>
  <si>
    <t>FOREST</t>
  </si>
  <si>
    <t>Tree cover, broadleaved, evergreen</t>
  </si>
  <si>
    <t xml:space="preserve">Tree cover, broadleaved, decidous </t>
  </si>
  <si>
    <t xml:space="preserve">Mosaic tree and shrub </t>
  </si>
  <si>
    <t>Tree cover, flooded, fresh or brackish water</t>
  </si>
  <si>
    <t>Tree. Cover, flooded, saline water</t>
  </si>
  <si>
    <t>GRASSLAND</t>
  </si>
  <si>
    <t>Mosaic herbaceus cover</t>
  </si>
  <si>
    <t>Grassland</t>
  </si>
  <si>
    <t>WETLAND</t>
  </si>
  <si>
    <t>Shrub or herbaceous cover, flooded, fresh-saline or brackish water</t>
  </si>
  <si>
    <t>SETTLEMENT</t>
  </si>
  <si>
    <t>OTHERS</t>
  </si>
  <si>
    <t>Shrubland</t>
  </si>
  <si>
    <t>Sparse vegetation</t>
  </si>
  <si>
    <t>Bare areas</t>
  </si>
  <si>
    <t>Water</t>
  </si>
  <si>
    <t>CH4 EMISSIONS</t>
  </si>
  <si>
    <t>EDGAR 2024</t>
  </si>
  <si>
    <t>Gridmaps at 0.1 x 0.1 degree resolution at global level, with yearly data</t>
  </si>
  <si>
    <t>tonnes CH4/yr</t>
  </si>
  <si>
    <t>LIVESTOCK</t>
  </si>
  <si>
    <t>Livestock class</t>
  </si>
  <si>
    <t>buffalo</t>
  </si>
  <si>
    <t>GLW: Gridded Livestock Density</t>
  </si>
  <si>
    <t>GIS data for 2010, 2015 and 2020. Provided as density (heads/km2/pixel) at 5 arc-minutes</t>
  </si>
  <si>
    <t>heads</t>
  </si>
  <si>
    <t>chicken</t>
  </si>
  <si>
    <t>cattle</t>
  </si>
  <si>
    <t>ducks</t>
  </si>
  <si>
    <t>goats</t>
  </si>
  <si>
    <t>horses</t>
  </si>
  <si>
    <t>pigs</t>
  </si>
  <si>
    <t>sheeps</t>
  </si>
  <si>
    <t>https://www.globalforestwatch.org/</t>
  </si>
  <si>
    <t>IPCC Guidelines</t>
  </si>
  <si>
    <t>https://www.ipcc-nggip.iges.or.jp/public/2019rf/pdf/4_Volume4/19R_V4_Ch04_Forest%20Land.pdf</t>
  </si>
  <si>
    <t>https://data.ceda.ac.uk/neodc/esacci/biomass/data/agb/maps/v5.01/geotiff/aggregated</t>
  </si>
  <si>
    <t>https://mapspam.info/data/</t>
  </si>
  <si>
    <t>https://cds.climate.copernicus.eu/datasets/satellite-land-cover?tab=download</t>
  </si>
  <si>
    <t>https://edgar.jrc.ec.europa.eu/gallery?release=v2024ghg&amp;substance=CH4&amp;sector=TOTALS</t>
  </si>
  <si>
    <t>GLW</t>
  </si>
  <si>
    <t>https://dataverse.harvard.edu/dataverse/glw</t>
  </si>
  <si>
    <t>RVA BY ECONOMIC ACTIVITIES</t>
  </si>
  <si>
    <t>INDUSTRY</t>
  </si>
  <si>
    <t>Provincial gross domestic product Report</t>
  </si>
  <si>
    <t>Downscaled values based on total GDP downscaling process for the CS (see documentation). Some productive sectors have been aggregated, such as commercial and households. Downscaled from provincial values and adjusted to constant 2015 M$.</t>
  </si>
  <si>
    <t>2015 M$</t>
  </si>
  <si>
    <t>TRANSPORT</t>
  </si>
  <si>
    <t>COMMERCIAL</t>
  </si>
  <si>
    <t>AGRICULTURE FORESTRY FISHING</t>
  </si>
  <si>
    <t>TAXES LESS SUBSIDES ON PRODUCTS</t>
  </si>
  <si>
    <t>GDP</t>
  </si>
  <si>
    <t>SECTOR SHARES</t>
  </si>
  <si>
    <t>RVA of the sector as a share of RVA of all industries</t>
  </si>
  <si>
    <t>CONSUMPTION DATA</t>
  </si>
  <si>
    <t>GOVERNMENT FINAL CONSUMPTION</t>
  </si>
  <si>
    <t>South Africa Reserve Bank 
Full Quarterly Bulletin</t>
  </si>
  <si>
    <t>This data represents consumption figures for South Africa, sourced and converted using the same methods as the GDP by sector data. Originally in millions of South African Rands (ZAR) and expressed in constant 2015 prices, the data was converted to US dollars using the average annual exchange rate from the International Financial Statistics website. Downscaled from national values.</t>
  </si>
  <si>
    <t>HOUSEHOLD FINAL CONSUMPTION</t>
  </si>
  <si>
    <t>LABOUR SHARE</t>
  </si>
  <si>
    <t>ILO - Modelled Estimates</t>
  </si>
  <si>
    <t>This data represents the labour share of GDP, measured as the percentage of GDP attributable to labour income. The data was sourced from SDG indicator 10.4.1 - Labour income share as a percent of GDP (%) from the ILO's Modelled Estimates. The national value has been used for the CS.</t>
  </si>
  <si>
    <t>COMPENSATION OF EMPLOYEES</t>
  </si>
  <si>
    <t>ILO - Modelled Estimates &amp; Provincial gross domestic product Report</t>
  </si>
  <si>
    <t>Total remuneration, in cash or in kind, paid to employees for their labor. CoE = GDP * Labour Share</t>
  </si>
  <si>
    <t>CAPITAL COMPENSATION</t>
  </si>
  <si>
    <t>CAPITAL COMPENSATION (CC)</t>
  </si>
  <si>
    <t>This data represents the share of GDP allocated to capital compensation. It was calculated by subtracting the labour share of GDP from the total GDP -&gt; CC = 1 - Labour Share</t>
  </si>
  <si>
    <t>CAPITAL FORMATION (INVESTMENT)</t>
  </si>
  <si>
    <t>GROSS FIXED CAPITAL FORMATION</t>
  </si>
  <si>
    <t>Stock of physical assets, such as machinery, infrastructure, buildings, and equipment, which are used to produce goods and services. Downscaled from national values and adjusted to constant 2015 M$.</t>
  </si>
  <si>
    <t>CAPITAL STOCK</t>
  </si>
  <si>
    <t>Total value of physical assets—such as machinery, buildings, infrastructure, and equipment—that are used in production within an economy. Downscaled from national values and adjusted to constant 2015 M$.</t>
  </si>
  <si>
    <t>TAXES LESS SUBSIDIES ON PRODUCT</t>
  </si>
  <si>
    <t>TAXES LESS SUBSIDIES ON PRODUCT (TLSP)</t>
  </si>
  <si>
    <t>Downscaled values based on total GDP downscaling process for the CS (see documentation). Downscaled from provincial values and adjusted to constant 2015 M$.</t>
  </si>
  <si>
    <t>TAXES LESS SUBSIDIES ON PRODUCT SHARE</t>
  </si>
  <si>
    <t>Share = TLSP / GDP</t>
  </si>
  <si>
    <t>NET EXPORTS</t>
  </si>
  <si>
    <t>Difference between imports and exports in a region. Downscaled from national values and adjusted to constant 2015 M$.</t>
  </si>
  <si>
    <t>CAPITAL STOCK GROWTH RATE</t>
  </si>
  <si>
    <t>Capital Stock Growth Rate_1 = (Capital Stock_1 - Capital Stock_0) / Capital Stock_0</t>
  </si>
  <si>
    <t>GROSS OPERATIONAL SURPLUS</t>
  </si>
  <si>
    <t>Gross operational Surplus = Gross Value Added at BC - Labour Share * GDP
Downscaled from national values and adjusted to constant 2015 M$.</t>
  </si>
  <si>
    <t>DEPRECIATION RATE</t>
  </si>
  <si>
    <t>DEPRECIATION</t>
  </si>
  <si>
    <t>Decline of the value of an asset over time due to wear and tear, obsolescence, or aging.
Depreciation_1 = Capital Stock_0 + Capital Formation_1 - Capital Stock_1</t>
  </si>
  <si>
    <t>Percentage at which the value of an asset declines over time due to wear and tear, obsolescence, or aging. 
Deprecitation Rate_1 = Depreciation_1 / Capital Stock_1</t>
  </si>
  <si>
    <t>https://www.resbank.co.za/content/dam/sarb/publications/quarterly-bulletins/quarterly-bulletin-publications/2024/december-2024/01FullQuarterlyBulletin.pdf</t>
  </si>
  <si>
    <t>https://rshiny.ilo.org/dataexplorer45/?lang=en&amp;id=SDG_1041_NOC_RT_A</t>
  </si>
  <si>
    <t>AGE-SPECIFIC FERTIFILITY RATES BY SINGLE AGE</t>
  </si>
  <si>
    <t>Age-specific fertility rates by single age
Units: births per 1,000 women
Sources: United Nations - Population Database
Description: Number of births per 1000 women of a same age. National values have been used for the CS</t>
  </si>
  <si>
    <t>NATIONAL FEMALE MORTALITY RATE BY SINGLE AGE</t>
  </si>
  <si>
    <t>National Female Mortality Rate single age
Units: People per 1000 population
Sources: United Nations - Population Database
Description: Number of female deaths per 1000 people by single age. National values have been used for the CS</t>
  </si>
  <si>
    <t>NATIONAL MALE MORTALITY RATE BY SINGLE AGE</t>
  </si>
  <si>
    <t>National Male Mortality Rate single age
Units: People per 1000 population
Sources: United Nations - Population Database
Description: Number of male deaths per 1000 people by single age. National values have been used for the CS</t>
  </si>
  <si>
    <t>SEX RATIO AT BIRTH</t>
  </si>
  <si>
    <t>Sex ratio at Birth
Units: dmnl
Sources: United Nations - Population Database
Description: Raw data are male births per 100 female births, so the ratios are calculated as: Male_ratio = male_births / (male_births + 100); Female_ratio = 1 - male_ratio</t>
  </si>
  <si>
    <t>male</t>
  </si>
  <si>
    <t>female</t>
  </si>
  <si>
    <t>IUWMA POPULATION</t>
  </si>
  <si>
    <t>IUWMA Population</t>
  </si>
  <si>
    <t>PopClusters (2016)
WorldPop - Population Counts</t>
  </si>
  <si>
    <t>PopClusters only provides the 2016 population, but with high accuracy and serves as a refernce adjust and validate WorldPop data. Both datasets are GIS.</t>
  </si>
  <si>
    <t>people</t>
  </si>
  <si>
    <t>INITIAL POPULATION (2015) BY SEX AND SINGLE AGE</t>
  </si>
  <si>
    <t>Initial Population (2015) by sex and single age
Units: people
Sources: WorldPop + United Nations - Population Database
Description: Based on national male-female ratio population by single age. The same ratios have been extrapolated to 2015 IUWMA total population</t>
  </si>
  <si>
    <t>SSP POPULATION</t>
  </si>
  <si>
    <t>SSP2 Population</t>
  </si>
  <si>
    <t xml:space="preserve">Wang et al.2022 </t>
  </si>
  <si>
    <t>Population projections downscaled from national values to IUWMA level, adjusting the data to match 2020 values (initial point)</t>
  </si>
  <si>
    <t>SSP1 Population</t>
  </si>
  <si>
    <t>SSP3 Population</t>
  </si>
  <si>
    <t>SSP4 Population</t>
  </si>
  <si>
    <t>SSP5 Population</t>
  </si>
  <si>
    <t>PopClusters</t>
  </si>
  <si>
    <t>https://data.mendeley.com/datasets/z9zfhzk8cr/6</t>
  </si>
  <si>
    <t>WorldPop</t>
  </si>
  <si>
    <t>https://hub.worldpop.org/geodata/listing?id=75</t>
  </si>
  <si>
    <t>United Nations - Population Database</t>
  </si>
  <si>
    <t>https://population.un.org/wpp/downloads</t>
  </si>
  <si>
    <t>https://figshare.com/articles/dataset/Projecting_1_km-grid_population_distributions_from_2020_to_2100_globally_under_shared_socioeconomic_pathways/19608594/2</t>
  </si>
  <si>
    <t>D 2.3 Design, development and deployment of ONEPlanET database:</t>
  </si>
  <si>
    <r>
      <t xml:space="preserve">Main contributor for this deliverable: </t>
    </r>
    <r>
      <rPr>
        <sz val="11"/>
        <color rgb="FF006666"/>
        <rFont val="Arial"/>
        <family val="2"/>
      </rPr>
      <t>Adrián Mateo (CARTIF)</t>
    </r>
  </si>
  <si>
    <r>
      <t xml:space="preserve">Reviewing Partners: </t>
    </r>
    <r>
      <rPr>
        <sz val="11"/>
        <color rgb="FF006666"/>
        <rFont val="Arial"/>
        <family val="2"/>
      </rPr>
      <t>Ana García González (UVa)</t>
    </r>
  </si>
  <si>
    <t>Dissemination Level</t>
  </si>
  <si>
    <t>PU</t>
  </si>
  <si>
    <t>Public</t>
  </si>
  <si>
    <t>X</t>
  </si>
  <si>
    <t>CO</t>
  </si>
  <si>
    <t>Confidential</t>
  </si>
  <si>
    <t>Project Contractual Details </t>
  </si>
  <si>
    <t>Project Title</t>
  </si>
  <si>
    <t>Open source Nexus modelling tools for</t>
  </si>
  <si>
    <t>Project Acronym</t>
  </si>
  <si>
    <t>ONEPlanET</t>
  </si>
  <si>
    <t>Grant Agreement No.</t>
  </si>
  <si>
    <t>Project Start Date</t>
  </si>
  <si>
    <t>Project End Date</t>
  </si>
  <si>
    <t>Duration</t>
  </si>
  <si>
    <t>36 months</t>
  </si>
  <si>
    <r>
      <t xml:space="preserve">Supplementary notes: </t>
    </r>
    <r>
      <rPr>
        <i/>
        <sz val="10"/>
        <color theme="1"/>
        <rFont val="Arial"/>
        <family val="2"/>
      </rPr>
      <t>This document will be available only to ONEPlanET Consortium partners or will be publicly available and shared on Cordis.</t>
    </r>
  </si>
  <si>
    <t>Disclaimer</t>
  </si>
  <si>
    <t>Funded by the European Union. The content of this deliverable reflects the authors’ views.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t>
  </si>
  <si>
    <t>Copyright Message</t>
  </si>
  <si>
    <t>This report, if not confidential, is licensed under a Creative Commons Attribution 4.0 International License (CC BY 4.0). A copy is available here:</t>
  </si>
  <si>
    <t xml:space="preserve">https://creativecommons.org/licenses/by/4.0/. </t>
  </si>
  <si>
    <t>You are free to share (copy and redistribute the material in any medium or format) and adapt (remix, transform, and build upon the material for any purpose, even commercially) under the following terms: (i) attribution (you must give appropriate credit, provide a link to the license, and indicate if changes were made; you may do so in any reasonable manner, but not in any way that suggests the licensor endorses you or your use); (ii) no additional restrictions (you may not apply legal terms or technological measures that legally restrict others from doing anything the license permits).</t>
  </si>
  <si>
    <t>Tab 1:</t>
  </si>
  <si>
    <t>Tab 15</t>
  </si>
  <si>
    <t>cohorts</t>
  </si>
  <si>
    <t>SONGWE</t>
  </si>
  <si>
    <t>Countries: Tanzania &amp; Malawi</t>
  </si>
  <si>
    <t>Tanzania</t>
  </si>
  <si>
    <t>Malawi</t>
  </si>
  <si>
    <t>PRIMARY TREE COVER LOSS</t>
  </si>
  <si>
    <t>PRIMARY FOREST-RELATED
GHG EMISSIONS</t>
  </si>
  <si>
    <t>BGB = AGB * 0.25
Based on IPCC Guidelines (2006 / 2019 Refinement) -&gt; Agroforestry system : 0.24-0.30</t>
  </si>
  <si>
    <t>arabica coffee</t>
  </si>
  <si>
    <t>groundnut</t>
  </si>
  <si>
    <t>other roots</t>
  </si>
  <si>
    <t>pigeonpea</t>
  </si>
  <si>
    <t>plantain</t>
  </si>
  <si>
    <t>robusta coffee</t>
  </si>
  <si>
    <t>rice</t>
  </si>
  <si>
    <t>sesameseed</t>
  </si>
  <si>
    <t>small millet</t>
  </si>
  <si>
    <t>tea</t>
  </si>
  <si>
    <t>temperate fruit</t>
  </si>
  <si>
    <t>tropical fruit</t>
  </si>
  <si>
    <t>bean</t>
  </si>
  <si>
    <t>vegetables</t>
  </si>
  <si>
    <t>yams</t>
  </si>
  <si>
    <t>cassava</t>
  </si>
  <si>
    <t>chickpea</t>
  </si>
  <si>
    <t>onion</t>
  </si>
  <si>
    <t>Wilson &amp; Lewis, 2015</t>
  </si>
  <si>
    <t>Tanzania's average national values for average yield crops</t>
  </si>
  <si>
    <t>RICE</t>
  </si>
  <si>
    <t>Materu et al., 2018</t>
  </si>
  <si>
    <t>BUFFALO</t>
  </si>
  <si>
    <t>Average water requirements, slightly adjusted to warm tropical climate (upper  limits of ranges) and extensive grazing</t>
  </si>
  <si>
    <t>CATTLE</t>
  </si>
  <si>
    <t>DUCKS</t>
  </si>
  <si>
    <t>GOATS</t>
  </si>
  <si>
    <t>HORSES</t>
  </si>
  <si>
    <t>PIGS</t>
  </si>
  <si>
    <t>SHEEPS</t>
  </si>
  <si>
    <t>Data obtained from national values, adjusted to the CS with population shares and predominantly rural areas</t>
  </si>
  <si>
    <t>ANNUAL SURFACE WATER DISCHARGE</t>
  </si>
  <si>
    <t>LAKES</t>
  </si>
  <si>
    <t>GIS data calculated by assuming a constant mean depth in the lake and multiplying the total lake volume by the percentage of the lake belonging to the basin</t>
  </si>
  <si>
    <t xml:space="preserve">ENVIRONMENTAL FLOW </t>
  </si>
  <si>
    <t>ENVIRONMENTAL FLOW (30%)</t>
  </si>
  <si>
    <t>HYDRORIVERS
King et al., 2018</t>
  </si>
  <si>
    <t>Calculted as a 30% of annual surface water discharge, assuming a reasonably conserved ecological status. It is also the lower limit of the Building Block Methodology</t>
  </si>
  <si>
    <t>ENVIRONMENTAL FLOW (40%)</t>
  </si>
  <si>
    <t>Calculted as a 40% of annual surface water discharge, which is the upper limit for the Building Block Methodology</t>
  </si>
  <si>
    <t>https://www.fao.org/fileadmin/user_upload/ivc/PDF/SFVC/Tanzania_maize.pdf</t>
  </si>
  <si>
    <t>https://doi.org/10.3390/w10081018</t>
  </si>
  <si>
    <t>King et al., 2018</t>
  </si>
  <si>
    <t>https://www.wrc.org.za/wp-content/uploads/mdocs/TT%20354-CONSERVATION.pdf</t>
  </si>
  <si>
    <t>Data - World Bank Group
Economic Annual Reports of Malawi
National Accounts of Tanzania</t>
  </si>
  <si>
    <t>The GDP has been downscaled following the LitPop Method (see documentation), individually by country and then aggregated at CS-level. Sectorial GDPs have been calculated using national shares and the CS-level GDP.</t>
  </si>
  <si>
    <t>Economic Annual Reports of Malawi
National Accounts of Tanzania</t>
  </si>
  <si>
    <t>RVA of the sector as a share of RVA of all industries. It has been calculated using national sectorial shares and the downscaled CS-level GDP that belongs to each country. IndShare_CS = (IndShare_Tz * GDP_CS_Tz + IndShare_Mw* GDP_CS_Mw) / (GDP_CS)</t>
  </si>
  <si>
    <t>UN Stats - National Accounts
National Accounts of Tanzania</t>
  </si>
  <si>
    <t>This data represents consumption figures for Tanzania &amp; Malawi, sourced and converted using the same methods as the GDP by sector data. Originally in millions of local currencies and expressed in constant 2015 prices, the data was converted to US dollars using the average annual exchange rate from the International Financial Statistics website. Downscaled from national values.</t>
  </si>
  <si>
    <t>This data represents the labour share of GDP, measured as the percentage of GDP attributable to labour income. The data was sourced from SDG indicator 10.4.1 - Labour income share as a percent of GDP (%) from the ILO's Modelled Estimates. As the CS is transboundary, the labour share has been calculated as a population-weighted average between the two national values. LS_CS = ((Pop_CSTz*LS_Tz)+(Pop_CSMw*LS_Mw))/(Pop_CS)</t>
  </si>
  <si>
    <t>GROSS FIXED CAPITAL FORMATION (INVESTMENT)</t>
  </si>
  <si>
    <t>Downscaled values based on total GDP downscaling process for the CS (see documentation). Downscaled from national values and adjusted to constant 2015 M$.</t>
  </si>
  <si>
    <t>Difference between imports and exports in the CS. Downscaled from national values and adjusted to constant 2015 M$.</t>
  </si>
  <si>
    <t>Data - World Bank Group</t>
  </si>
  <si>
    <t>https://data.worldbank.org/indicator/NY.GDP.MKTP.KD?name_desc=false</t>
  </si>
  <si>
    <t>Economic Annual Report</t>
  </si>
  <si>
    <t>https://nsomalawi.mw/publications/economy/</t>
  </si>
  <si>
    <t>National Accounts of Tanzania</t>
  </si>
  <si>
    <t>https://www.nbs.go.tz/nbs/takwimu/na/National_Accounts_of_Mainland_Tanzania_2020.pdf</t>
  </si>
  <si>
    <t>Ecd</t>
  </si>
  <si>
    <t>UN Stats - National Accounts</t>
  </si>
  <si>
    <t>https://unstats.un.org/unsd/snaama/</t>
  </si>
  <si>
    <t>Sex ratio at Birth
Units: dmnl
Sources: United Nations - Population Database
Description: Raw data are male births per 100 female births, so the ratios are calculated as: Male_ratio = male_births / (male_births + 100); Female_ratio = 1 - male_ratio. This is the average, weighted according to the percentage of the population of the CS that belongs to each country.</t>
  </si>
  <si>
    <t>SONGWE Population</t>
  </si>
  <si>
    <t>Initial Population (2015) by sex and single age
Units: people
Sources: WorldPop + United Nations - Population Database
Description: Based on national male-female ratio population by single age. The same ratios have been extrapolated to 2015 SONGWE total population</t>
  </si>
  <si>
    <t>Population projections downscaled from national values to Songwe level, adjusting the data to match 2020 values (initial point)</t>
  </si>
  <si>
    <t>BANI</t>
  </si>
  <si>
    <t>Countries: Mali, Côte d'Ivoire, Burkina Faso &amp; Guinea</t>
  </si>
  <si>
    <t>Mali</t>
  </si>
  <si>
    <t>Côte d'Ivoire</t>
  </si>
  <si>
    <t>Burkina Faso</t>
  </si>
  <si>
    <t>Guinea</t>
  </si>
  <si>
    <t>Comptes Nationaux Annuels - Anstat
Comptes Nationaux - INSTAT
IMF DATAMAPPER</t>
  </si>
  <si>
    <t>Comptes Nationaux Annuels - Anstat
Comptes Nationaux - INSTAT</t>
  </si>
  <si>
    <t>RVA of the sector as a share of RVA of all industries. It has been calculated using national sectorial shares and the downscaled CS-level GDP that belongs to each country. IndShare_CS = (IndShare_Ml * GDP_CS_Ml + IndShare_Iv* GDP_CS_Iv) / (GDP_CS)</t>
  </si>
  <si>
    <t>This data represents consumption figures for Mali &amp; Ivory Coast, sourced and converted using the same methods as the GDP by sector data. Originally in millions of local currencies and expressed in constant 2015 prices, the data was converted to US dollars using the average annual exchange rate from the International Financial Statistics website. Downscaled from national values.</t>
  </si>
  <si>
    <t>This data represents the labour share of GDP, measured as the percentage of GDP attributable to labour income. The data was sourced from SDG indicator 10.4.1 - Labour income share as a percent of GDP (%) from the ILO's Modelled Estimates. As the CS is transboundary, the labour share has been calculated as a population-weighted average between the two national values. LS_CS = ((Pop_CSMa*LS_Ma)+(Pop_CSIv*LS_Iv))/(Pop_CS)</t>
  </si>
  <si>
    <t xml:space="preserve">ILO - Modelled Estimates &amp; </t>
  </si>
  <si>
    <t>Economic Data - FREC</t>
  </si>
  <si>
    <t>Economic Data - FRED</t>
  </si>
  <si>
    <t>https://unstats.un.org/unsd/nationalaccount/sdpubs/MADT-2023.pdf</t>
  </si>
  <si>
    <t>Comptes Nationaux Annuels - Anstat</t>
  </si>
  <si>
    <t>https://www.anstat.ci/assets/publications/files/COMPTES_NATIONAUX_ANNUELS_DEFINITIFS_2022.pdf</t>
  </si>
  <si>
    <t>Comptes Nationaux - INSTAT</t>
  </si>
  <si>
    <t>https://www.instat-mali.org/fr/publications</t>
  </si>
  <si>
    <t>https://ilostat.ilo.org/topics/sdg/</t>
  </si>
  <si>
    <t>IMF DATAMAPPER</t>
  </si>
  <si>
    <t>https://www.imf.org/external/datamapper/NGDP_RPCH@WEO/OEMDC/ADVEC/WEOWORLD</t>
  </si>
  <si>
    <t>https://fred.stlouisfed.org/categories/33405</t>
  </si>
  <si>
    <t>BANI Population</t>
  </si>
  <si>
    <t>Initial Population (2015) by sex and single age
Units: people
Sources: WorldPop + United Nations - Population Database
Description: Based on national male-female ratio populaºtion by single age. The same ratios have been extrapolated to 2015 BANI total population</t>
  </si>
  <si>
    <t>Population projections downscaled from national values to Bani level, adjusting the data to match 2020 values (initial point)</t>
  </si>
  <si>
    <t>BGB = AGB * 1.725
Based on IPCC Guidelines (2006 / 2019 Refinement) -&gt; Agroforestry system : 0.24-0.30</t>
  </si>
  <si>
    <t>Banana</t>
  </si>
  <si>
    <t>Bean</t>
  </si>
  <si>
    <t>Cassava</t>
  </si>
  <si>
    <t>Citrus</t>
  </si>
  <si>
    <t>Cocoa</t>
  </si>
  <si>
    <t>Coconut</t>
  </si>
  <si>
    <t>Cotton</t>
  </si>
  <si>
    <t>Cowpea</t>
  </si>
  <si>
    <t>Groundnut</t>
  </si>
  <si>
    <t>Maize</t>
  </si>
  <si>
    <t>Oilpalm</t>
  </si>
  <si>
    <t>Onion</t>
  </si>
  <si>
    <t>Other Cereals</t>
  </si>
  <si>
    <t>Other Fibre Crops</t>
  </si>
  <si>
    <t>Other Oil Crops</t>
  </si>
  <si>
    <t>Other Pulses</t>
  </si>
  <si>
    <t>Other Roots</t>
  </si>
  <si>
    <t>Other Tropical Fruit</t>
  </si>
  <si>
    <t>Other Vegetables</t>
  </si>
  <si>
    <t>Pearl Millet</t>
  </si>
  <si>
    <t>Plantain</t>
  </si>
  <si>
    <t>Potato</t>
  </si>
  <si>
    <t>Rest of Crops</t>
  </si>
  <si>
    <t>Rice</t>
  </si>
  <si>
    <t>Robust Coffee</t>
  </si>
  <si>
    <t>Rubber</t>
  </si>
  <si>
    <t>Sesame Seed</t>
  </si>
  <si>
    <t>Sorghum</t>
  </si>
  <si>
    <t>Soybean</t>
  </si>
  <si>
    <t>Sugarbeet</t>
  </si>
  <si>
    <t>Sugarcane</t>
  </si>
  <si>
    <t>Sweet Potato</t>
  </si>
  <si>
    <t>Tea</t>
  </si>
  <si>
    <t>Temperate Fruit</t>
  </si>
  <si>
    <t>Tobacco</t>
  </si>
  <si>
    <t>Tomato</t>
  </si>
  <si>
    <t>Yams</t>
  </si>
  <si>
    <t>Small Millet</t>
  </si>
  <si>
    <t>Wheat</t>
  </si>
  <si>
    <t>PEARL MILLET</t>
  </si>
  <si>
    <t>Oumarou et al., 2021</t>
  </si>
  <si>
    <t>Average values for the Niger River Basin</t>
  </si>
  <si>
    <t>RICE (simple cropping)</t>
  </si>
  <si>
    <t>Yerima et al., 2025</t>
  </si>
  <si>
    <t>RICE (double cropping)</t>
  </si>
  <si>
    <t>SMALL MILLET</t>
  </si>
  <si>
    <t>SORGHUM</t>
  </si>
  <si>
    <t>National Sugar Dev. Council</t>
  </si>
  <si>
    <t>AVERAGE ANNUAL SURFACE WATER DISCHARGE</t>
  </si>
  <si>
    <t>https://journalwjarr.com/sites/default/files/fulltext_pdf/WJARR-2025-0479.pdf</t>
  </si>
  <si>
    <t>https://doi.org/10.3390/atmos12040439</t>
  </si>
  <si>
    <t>https://www.nsdcnigeria.org/water-resources-minister-pledges-to-address-irrigation-challenges-facing-sugar-production/</t>
  </si>
  <si>
    <r>
      <t>Contributing partners:</t>
    </r>
    <r>
      <rPr>
        <sz val="11"/>
        <color rgb="FF006666"/>
        <rFont val="Arial"/>
        <family val="2"/>
      </rPr>
      <t xml:space="preserve"> Sara Pérez (CARTIF), Raquel López (CARTIF), Iván Ramos (CARTIF), Tsitsi Bangira (UKZN), Caterina Testino (RINA-C), </t>
    </r>
  </si>
  <si>
    <t>Pedro Solano (UVa), Laura Bartolomé (UVa), Sara Masia (IHE-Delft), Natalie Kafantari (CYI), Constantinos Kritiotis, (CYI), Abdoulaye Ballo (ECREE), Harriette Okal (SEI).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</si>
</sst>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
    <numFmt numFmtId="166" formatCode="#,##0.000"/>
    <numFmt numFmtId="167" formatCode="0.0"/>
    <numFmt numFmtId="168" formatCode="#,##0.0000"/>
    <numFmt numFmtId="169" formatCode="#,##0.0000000"/>
    <numFmt numFmtId="170" formatCode="#,##0.00000"/>
    <numFmt numFmtId="171" formatCode="#,##0.0"/>
  </numFmts>
  <fonts count="38">
    <font>
      <sz val="11"/>
      <color theme="1"/>
      <name val="Calibri"/>
      <family val="2"/>
      <scheme val="minor"/>
    </font>
    <font>
      <sz val="11"/>
      <color theme="1"/>
      <name val="Calibri"/>
      <family val="2"/>
      <scheme val="minor"/>
    </font>
    <font>
      <b/>
      <sz val="11"/>
      <color theme="1"/>
      <name val="Aptos narrow"/>
    </font>
    <font>
      <sz val="11"/>
      <color theme="1"/>
      <name val="Aptos narrow"/>
    </font>
    <font>
      <sz val="11"/>
      <name val="Aptos narrow"/>
    </font>
    <font>
      <u/>
      <sz val="11"/>
      <color theme="10"/>
      <name val="Calibri"/>
      <family val="2"/>
      <scheme val="minor"/>
    </font>
    <font>
      <b/>
      <sz val="11"/>
      <color theme="1"/>
      <name val="Calibri"/>
      <family val="2"/>
      <scheme val="minor"/>
    </font>
    <font>
      <b/>
      <sz val="12"/>
      <color theme="1"/>
      <name val="Calibri"/>
      <family val="2"/>
      <scheme val="minor"/>
    </font>
    <font>
      <b/>
      <sz val="14"/>
      <color rgb="FF004F5C"/>
      <name val="Arial"/>
      <family val="2"/>
    </font>
    <font>
      <b/>
      <sz val="9"/>
      <color theme="1"/>
      <name val="Segoe UI"/>
      <family val="2"/>
    </font>
    <font>
      <sz val="11"/>
      <color theme="1"/>
      <name val="Arial Narrow"/>
      <family val="2"/>
    </font>
    <font>
      <b/>
      <sz val="16"/>
      <color rgb="FF004F5C"/>
      <name val="Calibri"/>
      <family val="2"/>
      <scheme val="minor"/>
    </font>
    <font>
      <sz val="10"/>
      <color theme="1"/>
      <name val="Calibri"/>
      <family val="2"/>
      <scheme val="minor"/>
    </font>
    <font>
      <sz val="8"/>
      <color theme="1"/>
      <name val="Calibri"/>
      <family val="2"/>
      <scheme val="minor"/>
    </font>
    <font>
      <sz val="11"/>
      <color theme="1"/>
      <name val="Arial"/>
      <family val="2"/>
    </font>
    <font>
      <sz val="12"/>
      <color theme="1"/>
      <name val="Arial Narrow"/>
      <family val="2"/>
    </font>
    <font>
      <b/>
      <sz val="11"/>
      <color theme="1"/>
      <name val="Arial"/>
      <family val="2"/>
    </font>
    <font>
      <i/>
      <sz val="11"/>
      <color rgb="FF000000"/>
      <name val="Arial"/>
      <family val="2"/>
    </font>
    <font>
      <b/>
      <sz val="11"/>
      <color theme="0"/>
      <name val="Aptos narrow"/>
    </font>
    <font>
      <sz val="11"/>
      <color theme="1"/>
      <name val="Calibri"/>
      <family val="2"/>
      <charset val="1"/>
    </font>
    <font>
      <b/>
      <sz val="11"/>
      <name val="Aptos narrow"/>
    </font>
    <font>
      <b/>
      <sz val="9"/>
      <color theme="0"/>
      <name val="Aptos narrow"/>
    </font>
    <font>
      <b/>
      <sz val="9"/>
      <color indexed="81"/>
      <name val="Tahoma"/>
      <family val="2"/>
    </font>
    <font>
      <sz val="9"/>
      <color indexed="81"/>
      <name val="Tahoma"/>
      <family val="2"/>
    </font>
    <font>
      <b/>
      <sz val="9"/>
      <color theme="0"/>
      <name val="Calibri"/>
      <family val="2"/>
      <scheme val="minor"/>
    </font>
    <font>
      <sz val="12"/>
      <color indexed="81"/>
      <name val="Tahoma"/>
      <family val="2"/>
    </font>
    <font>
      <sz val="11"/>
      <color rgb="FF006666"/>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i/>
      <sz val="10"/>
      <color theme="1"/>
      <name val="Arial"/>
      <family val="2"/>
    </font>
    <font>
      <b/>
      <sz val="10"/>
      <color rgb="FF004F5C"/>
      <name val="Arial"/>
      <family val="2"/>
    </font>
    <font>
      <i/>
      <sz val="11"/>
      <color theme="1"/>
      <name val="Aptos narrow"/>
    </font>
    <font>
      <b/>
      <sz val="11"/>
      <color rgb="FF000000"/>
      <name val="Aptos narrow"/>
    </font>
    <font>
      <sz val="9"/>
      <color theme="1"/>
      <name val="Aptos narrow"/>
    </font>
    <font>
      <b/>
      <sz val="9"/>
      <color theme="1"/>
      <name val="Aptos narrow"/>
    </font>
    <font>
      <b/>
      <sz val="12"/>
      <color rgb="FF0000FF"/>
      <name val="APTOS NARROW"/>
    </font>
  </fonts>
  <fills count="16">
    <fill>
      <patternFill patternType="none"/>
    </fill>
    <fill>
      <patternFill patternType="gray125"/>
    </fill>
    <fill>
      <patternFill patternType="solid">
        <fgColor rgb="FF92D050"/>
        <bgColor rgb="FFAFD095"/>
      </patternFill>
    </fill>
    <fill>
      <patternFill patternType="solid">
        <fgColor rgb="FFFFC000"/>
        <bgColor rgb="FFFFD966"/>
      </patternFill>
    </fill>
    <fill>
      <patternFill patternType="solid">
        <fgColor rgb="FFFFF2CC"/>
        <bgColor indexed="64"/>
      </patternFill>
    </fill>
    <fill>
      <patternFill patternType="solid">
        <fgColor rgb="FFFFD966"/>
        <bgColor indexed="64"/>
      </patternFill>
    </fill>
    <fill>
      <patternFill patternType="solid">
        <fgColor rgb="FFFFF2CC"/>
        <bgColor rgb="FFFFE699"/>
      </patternFill>
    </fill>
    <fill>
      <patternFill patternType="solid">
        <fgColor rgb="FFFFB219"/>
        <bgColor indexed="64"/>
      </patternFill>
    </fill>
    <fill>
      <patternFill patternType="solid">
        <fgColor rgb="FF44B3E1"/>
        <bgColor indexed="64"/>
      </patternFill>
    </fill>
    <fill>
      <patternFill patternType="solid">
        <fgColor rgb="FF90C262"/>
        <bgColor indexed="64"/>
      </patternFill>
    </fill>
    <fill>
      <patternFill patternType="solid">
        <fgColor theme="0"/>
        <bgColor indexed="64"/>
      </patternFill>
    </fill>
    <fill>
      <patternFill patternType="solid">
        <fgColor theme="4"/>
        <bgColor indexed="64"/>
      </patternFill>
    </fill>
    <fill>
      <patternFill patternType="solid">
        <fgColor theme="1"/>
        <bgColor indexed="64"/>
      </patternFill>
    </fill>
    <fill>
      <patternFill patternType="solid">
        <fgColor rgb="FFFFF2CC"/>
        <bgColor rgb="FFFBE5D6"/>
      </patternFill>
    </fill>
    <fill>
      <patternFill patternType="solid">
        <fgColor rgb="FFFFD966"/>
        <bgColor rgb="FFFBE5D6"/>
      </patternFill>
    </fill>
    <fill>
      <patternFill patternType="solid">
        <fgColor rgb="FFFFFF00"/>
        <bgColor indexed="64"/>
      </patternFill>
    </fill>
  </fills>
  <borders count="82">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indexed="64"/>
      </left>
      <right style="thin">
        <color indexed="64"/>
      </right>
      <top style="medium">
        <color indexed="64"/>
      </top>
      <bottom style="medium">
        <color indexed="64"/>
      </bottom>
      <diagonal/>
    </border>
    <border>
      <left style="thin">
        <color auto="1"/>
      </left>
      <right style="medium">
        <color auto="1"/>
      </right>
      <top style="medium">
        <color auto="1"/>
      </top>
      <bottom style="medium">
        <color auto="1"/>
      </bottom>
      <diagonal/>
    </border>
    <border>
      <left style="thin">
        <color indexed="64"/>
      </left>
      <right/>
      <top style="thin">
        <color indexed="64"/>
      </top>
      <bottom/>
      <diagonal/>
    </border>
    <border>
      <left/>
      <right style="thin">
        <color auto="1"/>
      </right>
      <top/>
      <bottom/>
      <diagonal/>
    </border>
    <border>
      <left style="thin">
        <color indexed="64"/>
      </left>
      <right/>
      <top style="thin">
        <color theme="0"/>
      </top>
      <bottom style="thin">
        <color theme="0"/>
      </bottom>
      <diagonal/>
    </border>
    <border>
      <left/>
      <right style="thin">
        <color auto="1"/>
      </right>
      <top style="thin">
        <color auto="1"/>
      </top>
      <bottom/>
      <diagonal/>
    </border>
    <border>
      <left style="thin">
        <color indexed="64"/>
      </left>
      <right/>
      <top/>
      <bottom/>
      <diagonal/>
    </border>
    <border>
      <left style="thin">
        <color indexed="64"/>
      </left>
      <right/>
      <top style="thin">
        <color theme="0"/>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auto="1"/>
      </right>
      <top/>
      <bottom style="thin">
        <color auto="1"/>
      </bottom>
      <diagonal/>
    </border>
    <border>
      <left/>
      <right style="thin">
        <color indexed="64"/>
      </right>
      <top/>
      <bottom style="thick">
        <color indexed="64"/>
      </bottom>
      <diagonal/>
    </border>
    <border>
      <left style="thin">
        <color indexed="64"/>
      </left>
      <right style="thin">
        <color indexed="64"/>
      </right>
      <top style="thin">
        <color indexed="64"/>
      </top>
      <bottom style="medium">
        <color theme="1"/>
      </bottom>
      <diagonal/>
    </border>
    <border>
      <left style="thin">
        <color indexed="64"/>
      </left>
      <right style="thin">
        <color indexed="64"/>
      </right>
      <top style="medium">
        <color theme="0"/>
      </top>
      <bottom style="thin">
        <color indexed="64"/>
      </bottom>
      <diagonal/>
    </border>
    <border>
      <left style="thin">
        <color indexed="64"/>
      </left>
      <right style="thin">
        <color indexed="64"/>
      </right>
      <top style="medium">
        <color theme="1"/>
      </top>
      <bottom style="thin">
        <color indexed="64"/>
      </bottom>
      <diagonal/>
    </border>
    <border>
      <left/>
      <right style="thin">
        <color indexed="64"/>
      </right>
      <top style="thick">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ck">
        <color theme="1"/>
      </bottom>
      <diagonal/>
    </border>
    <border>
      <left style="thin">
        <color indexed="64"/>
      </left>
      <right style="thin">
        <color indexed="64"/>
      </right>
      <top/>
      <bottom style="thick">
        <color theme="1"/>
      </bottom>
      <diagonal/>
    </border>
    <border>
      <left/>
      <right/>
      <top style="thick">
        <color theme="1"/>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medium">
        <color theme="0"/>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top style="thick">
        <color indexed="64"/>
      </top>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style="thin">
        <color indexed="64"/>
      </right>
      <top style="thin">
        <color indexed="64"/>
      </top>
      <bottom style="medium">
        <color theme="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thin">
        <color theme="1"/>
      </left>
      <right style="thin">
        <color theme="1"/>
      </right>
      <top style="thin">
        <color theme="1"/>
      </top>
      <bottom/>
      <diagonal/>
    </border>
    <border>
      <left style="thin">
        <color theme="1"/>
      </left>
      <right style="thin">
        <color indexed="64"/>
      </right>
      <top style="medium">
        <color indexed="64"/>
      </top>
      <bottom style="medium">
        <color theme="0"/>
      </bottom>
      <diagonal/>
    </border>
    <border>
      <left style="thin">
        <color theme="1"/>
      </left>
      <right style="thin">
        <color theme="1"/>
      </right>
      <top style="medium">
        <color indexed="64"/>
      </top>
      <bottom style="thin">
        <color theme="1"/>
      </bottom>
      <diagonal/>
    </border>
    <border>
      <left style="thin">
        <color theme="1"/>
      </left>
      <right style="thin">
        <color theme="1"/>
      </right>
      <top style="thin">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thin">
        <color indexed="64"/>
      </right>
      <top style="medium">
        <color theme="0"/>
      </top>
      <bottom style="medium">
        <color theme="0"/>
      </bottom>
      <diagonal/>
    </border>
    <border>
      <left style="thin">
        <color indexed="64"/>
      </left>
      <right style="thin">
        <color indexed="64"/>
      </right>
      <top/>
      <bottom style="medium">
        <color indexed="64"/>
      </bottom>
      <diagonal/>
    </border>
    <border>
      <left style="thin">
        <color theme="1"/>
      </left>
      <right style="thin">
        <color indexed="64"/>
      </right>
      <top style="medium">
        <color theme="0"/>
      </top>
      <bottom/>
      <diagonal/>
    </border>
    <border>
      <left style="medium">
        <color indexed="64"/>
      </left>
      <right style="medium">
        <color indexed="64"/>
      </right>
      <top style="medium">
        <color indexed="64"/>
      </top>
      <bottom style="thin">
        <color indexed="64"/>
      </bottom>
      <diagonal/>
    </border>
    <border>
      <left style="thick">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ck">
        <color rgb="FF000000"/>
      </left>
      <right/>
      <top style="thick">
        <color rgb="FF000000"/>
      </top>
      <bottom/>
      <diagonal/>
    </border>
    <border>
      <left style="thick">
        <color rgb="FF000000"/>
      </left>
      <right/>
      <top/>
      <bottom/>
      <diagonal/>
    </border>
    <border>
      <left/>
      <right style="thick">
        <color rgb="FF000000"/>
      </right>
      <top style="thick">
        <color rgb="FF000000"/>
      </top>
      <bottom/>
      <diagonal/>
    </border>
    <border>
      <left/>
      <right/>
      <top style="thick">
        <color rgb="FF000000"/>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medium">
        <color theme="0"/>
      </bottom>
      <diagonal/>
    </border>
    <border>
      <left style="thin">
        <color indexed="64"/>
      </left>
      <right style="thin">
        <color indexed="64"/>
      </right>
      <top/>
      <bottom style="thick">
        <color indexed="64"/>
      </bottom>
      <diagonal/>
    </border>
    <border>
      <left style="thick">
        <color indexed="64"/>
      </left>
      <right style="thin">
        <color indexed="64"/>
      </right>
      <top style="thin">
        <color indexed="64"/>
      </top>
      <bottom style="medium">
        <color theme="0"/>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thin">
        <color theme="1"/>
      </left>
      <right style="thin">
        <color theme="1"/>
      </right>
      <top style="medium">
        <color theme="1"/>
      </top>
      <bottom/>
      <diagonal/>
    </border>
    <border>
      <left style="thin">
        <color theme="1"/>
      </left>
      <right style="thin">
        <color theme="1"/>
      </right>
      <top/>
      <bottom/>
      <diagonal/>
    </border>
    <border>
      <left style="thin">
        <color theme="1"/>
      </left>
      <right style="thin">
        <color theme="1"/>
      </right>
      <top/>
      <bottom style="medium">
        <color indexed="64"/>
      </bottom>
      <diagonal/>
    </border>
    <border>
      <left style="thin">
        <color theme="1"/>
      </left>
      <right style="thin">
        <color theme="1"/>
      </right>
      <top style="medium">
        <color indexed="64"/>
      </top>
      <bottom/>
      <diagonal/>
    </border>
    <border>
      <left style="thin">
        <color theme="1"/>
      </left>
      <right style="thin">
        <color theme="1"/>
      </right>
      <top/>
      <bottom style="medium">
        <color theme="1"/>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19" fillId="0" borderId="0"/>
  </cellStyleXfs>
  <cellXfs count="463">
    <xf numFmtId="0" fontId="0" fillId="0" borderId="0" xfId="0"/>
    <xf numFmtId="0" fontId="2" fillId="7" borderId="4" xfId="0" applyFont="1" applyFill="1" applyBorder="1" applyAlignment="1">
      <alignment horizontal="center"/>
    </xf>
    <xf numFmtId="0" fontId="2" fillId="0" borderId="0" xfId="0" applyFont="1"/>
    <xf numFmtId="0" fontId="3" fillId="0" borderId="0" xfId="0" applyFont="1"/>
    <xf numFmtId="0" fontId="2" fillId="8" borderId="5" xfId="0" applyFont="1" applyFill="1" applyBorder="1" applyAlignment="1">
      <alignment horizontal="center" vertical="center"/>
    </xf>
    <xf numFmtId="0" fontId="2" fillId="9" borderId="4" xfId="0" applyFont="1" applyFill="1" applyBorder="1" applyAlignment="1">
      <alignment vertical="center"/>
    </xf>
    <xf numFmtId="0" fontId="2" fillId="0" borderId="4" xfId="0" applyFont="1" applyBorder="1" applyAlignment="1">
      <alignment horizontal="center" vertical="center" wrapText="1"/>
    </xf>
    <xf numFmtId="0" fontId="3" fillId="0" borderId="4" xfId="0" applyFont="1" applyBorder="1" applyAlignment="1">
      <alignment horizontal="center"/>
    </xf>
    <xf numFmtId="0" fontId="2" fillId="0" borderId="4" xfId="0" applyFont="1" applyBorder="1" applyAlignment="1">
      <alignment horizontal="center" vertical="center"/>
    </xf>
    <xf numFmtId="2" fontId="3" fillId="0" borderId="4" xfId="0" applyNumberFormat="1" applyFont="1" applyBorder="1" applyAlignment="1">
      <alignment horizontal="center"/>
    </xf>
    <xf numFmtId="164" fontId="3" fillId="0" borderId="4" xfId="0" applyNumberFormat="1" applyFont="1" applyBorder="1" applyAlignment="1">
      <alignment horizontal="center" vertical="center"/>
    </xf>
    <xf numFmtId="0" fontId="3" fillId="0" borderId="4" xfId="0" applyFont="1" applyBorder="1" applyAlignment="1">
      <alignment vertical="center"/>
    </xf>
    <xf numFmtId="0" fontId="3" fillId="0" borderId="4" xfId="0" applyFont="1" applyBorder="1" applyAlignment="1">
      <alignment horizontal="center" vertical="center" wrapText="1"/>
    </xf>
    <xf numFmtId="3" fontId="3" fillId="0" borderId="0" xfId="0" applyNumberFormat="1" applyFont="1"/>
    <xf numFmtId="0" fontId="2" fillId="0" borderId="6" xfId="0" applyFont="1" applyBorder="1" applyAlignment="1">
      <alignment vertical="center" wrapText="1"/>
    </xf>
    <xf numFmtId="0" fontId="3" fillId="0" borderId="4" xfId="0" applyFont="1" applyBorder="1" applyAlignment="1">
      <alignment vertical="center" wrapText="1"/>
    </xf>
    <xf numFmtId="0" fontId="2" fillId="7" borderId="7" xfId="0" applyFont="1" applyFill="1" applyBorder="1" applyAlignment="1">
      <alignment horizontal="center" vertical="center"/>
    </xf>
    <xf numFmtId="0" fontId="4" fillId="0" borderId="4" xfId="0" applyFont="1" applyBorder="1" applyAlignment="1">
      <alignment horizontal="center" vertical="center" wrapText="1"/>
    </xf>
    <xf numFmtId="2" fontId="3" fillId="10" borderId="4" xfId="0" applyNumberFormat="1" applyFont="1" applyFill="1" applyBorder="1" applyAlignment="1">
      <alignment horizontal="center"/>
    </xf>
    <xf numFmtId="2" fontId="3" fillId="0" borderId="4"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wrapText="1"/>
    </xf>
    <xf numFmtId="11" fontId="3" fillId="0" borderId="4" xfId="0" applyNumberFormat="1" applyFont="1" applyBorder="1" applyAlignment="1">
      <alignment horizontal="center"/>
    </xf>
    <xf numFmtId="11" fontId="3" fillId="0" borderId="4" xfId="0" applyNumberFormat="1" applyFont="1" applyBorder="1" applyAlignment="1">
      <alignment horizontal="center" vertical="center"/>
    </xf>
    <xf numFmtId="0" fontId="7" fillId="0" borderId="0" xfId="0" applyFont="1" applyAlignment="1">
      <alignment vertical="center"/>
    </xf>
    <xf numFmtId="0" fontId="0" fillId="0" borderId="0" xfId="0"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vertical="center"/>
    </xf>
    <xf numFmtId="0" fontId="15" fillId="0" borderId="0" xfId="0" applyFont="1" applyAlignment="1">
      <alignment vertical="center"/>
    </xf>
    <xf numFmtId="0" fontId="18" fillId="11" borderId="4" xfId="0" applyFont="1" applyFill="1" applyBorder="1" applyAlignment="1">
      <alignment horizontal="center"/>
    </xf>
    <xf numFmtId="0" fontId="3" fillId="10" borderId="4" xfId="0" applyFont="1" applyFill="1" applyBorder="1" applyAlignment="1">
      <alignment horizontal="center"/>
    </xf>
    <xf numFmtId="0" fontId="2" fillId="8" borderId="4" xfId="0" applyFont="1" applyFill="1" applyBorder="1" applyAlignment="1">
      <alignment horizontal="center" vertical="center"/>
    </xf>
    <xf numFmtId="0" fontId="2" fillId="8" borderId="9" xfId="0" applyFont="1" applyFill="1" applyBorder="1" applyAlignment="1">
      <alignment horizontal="center" vertical="center"/>
    </xf>
    <xf numFmtId="0" fontId="4" fillId="0" borderId="4" xfId="0" applyFont="1" applyBorder="1" applyAlignment="1">
      <alignment horizontal="center"/>
    </xf>
    <xf numFmtId="0" fontId="3" fillId="0" borderId="4" xfId="0" applyFont="1" applyFill="1" applyBorder="1" applyAlignment="1">
      <alignment horizontal="center"/>
    </xf>
    <xf numFmtId="0" fontId="4" fillId="0" borderId="4" xfId="0" applyFont="1" applyFill="1" applyBorder="1" applyAlignment="1">
      <alignment horizontal="center"/>
    </xf>
    <xf numFmtId="0" fontId="2" fillId="0" borderId="4" xfId="0" applyFont="1" applyBorder="1" applyAlignment="1">
      <alignment horizontal="center"/>
    </xf>
    <xf numFmtId="0" fontId="3" fillId="0" borderId="4" xfId="0" applyFont="1" applyBorder="1" applyAlignment="1">
      <alignment horizontal="center" vertical="center"/>
    </xf>
    <xf numFmtId="0" fontId="3" fillId="0" borderId="4" xfId="0" applyFont="1" applyFill="1" applyBorder="1" applyAlignment="1">
      <alignment horizontal="center" vertical="center"/>
    </xf>
    <xf numFmtId="0" fontId="3" fillId="0" borderId="0" xfId="0" applyFont="1" applyAlignment="1">
      <alignment vertical="center"/>
    </xf>
    <xf numFmtId="2" fontId="3" fillId="0" borderId="4" xfId="0" applyNumberFormat="1" applyFont="1" applyFill="1" applyBorder="1" applyAlignment="1">
      <alignment horizontal="center"/>
    </xf>
    <xf numFmtId="165" fontId="3" fillId="0" borderId="4" xfId="0" applyNumberFormat="1" applyFont="1" applyFill="1" applyBorder="1" applyAlignment="1">
      <alignment horizontal="center"/>
    </xf>
    <xf numFmtId="0" fontId="2" fillId="8" borderId="10" xfId="0" applyFont="1" applyFill="1" applyBorder="1" applyAlignment="1">
      <alignment horizontal="center" vertical="center"/>
    </xf>
    <xf numFmtId="11" fontId="3" fillId="0" borderId="0" xfId="0" applyNumberFormat="1" applyFont="1"/>
    <xf numFmtId="0" fontId="2" fillId="9" borderId="11" xfId="0" applyFont="1" applyFill="1" applyBorder="1" applyAlignment="1">
      <alignment vertical="center"/>
    </xf>
    <xf numFmtId="0" fontId="3" fillId="0" borderId="12" xfId="0" applyFont="1" applyBorder="1" applyAlignment="1">
      <alignment horizontal="center"/>
    </xf>
    <xf numFmtId="11" fontId="20" fillId="0" borderId="13" xfId="3" applyNumberFormat="1" applyFont="1" applyBorder="1" applyAlignment="1" applyProtection="1">
      <alignment horizontal="center"/>
    </xf>
    <xf numFmtId="11" fontId="20" fillId="0" borderId="14" xfId="3" applyNumberFormat="1" applyFont="1" applyBorder="1" applyAlignment="1" applyProtection="1">
      <alignment horizontal="center"/>
    </xf>
    <xf numFmtId="11" fontId="20" fillId="0" borderId="15" xfId="3" applyNumberFormat="1" applyFont="1" applyBorder="1" applyAlignment="1" applyProtection="1">
      <alignment horizontal="center"/>
    </xf>
    <xf numFmtId="0" fontId="21" fillId="12" borderId="16" xfId="0" applyFont="1" applyFill="1" applyBorder="1" applyAlignment="1">
      <alignment horizontal="left" vertical="center" wrapText="1"/>
    </xf>
    <xf numFmtId="11" fontId="4" fillId="0" borderId="17" xfId="3" applyNumberFormat="1" applyFont="1" applyBorder="1" applyAlignment="1" applyProtection="1">
      <alignment horizontal="center"/>
    </xf>
    <xf numFmtId="0" fontId="21" fillId="12" borderId="18" xfId="0" applyFont="1" applyFill="1" applyBorder="1" applyAlignment="1">
      <alignment horizontal="left" vertical="center" wrapText="1"/>
    </xf>
    <xf numFmtId="11" fontId="4" fillId="0" borderId="19" xfId="3" applyNumberFormat="1" applyFont="1" applyBorder="1" applyAlignment="1" applyProtection="1">
      <alignment horizontal="center"/>
    </xf>
    <xf numFmtId="0" fontId="21" fillId="12" borderId="20" xfId="0" applyFont="1" applyFill="1" applyBorder="1" applyAlignment="1">
      <alignment horizontal="left" vertical="center" wrapText="1"/>
    </xf>
    <xf numFmtId="0" fontId="21" fillId="12" borderId="21" xfId="0" applyFont="1" applyFill="1" applyBorder="1" applyAlignment="1">
      <alignment horizontal="left" vertical="center" wrapText="1"/>
    </xf>
    <xf numFmtId="11" fontId="20" fillId="0" borderId="22" xfId="3" applyNumberFormat="1" applyFont="1" applyBorder="1" applyAlignment="1" applyProtection="1">
      <alignment horizontal="center"/>
    </xf>
    <xf numFmtId="11" fontId="4" fillId="0" borderId="6" xfId="3" applyNumberFormat="1" applyFont="1" applyBorder="1" applyAlignment="1" applyProtection="1">
      <alignment horizontal="center"/>
    </xf>
    <xf numFmtId="11" fontId="4" fillId="0" borderId="23" xfId="3" applyNumberFormat="1" applyFont="1" applyBorder="1" applyAlignment="1" applyProtection="1">
      <alignment horizontal="center"/>
    </xf>
    <xf numFmtId="11" fontId="4" fillId="0" borderId="24" xfId="3" applyNumberFormat="1" applyFont="1" applyBorder="1" applyAlignment="1" applyProtection="1">
      <alignment horizontal="center"/>
    </xf>
    <xf numFmtId="11" fontId="4" fillId="0" borderId="4" xfId="3" applyNumberFormat="1" applyFont="1" applyBorder="1" applyAlignment="1" applyProtection="1">
      <alignment horizontal="center"/>
    </xf>
    <xf numFmtId="11" fontId="4" fillId="0" borderId="11" xfId="3" applyNumberFormat="1" applyFont="1" applyBorder="1" applyAlignment="1" applyProtection="1">
      <alignment horizontal="center"/>
    </xf>
    <xf numFmtId="11" fontId="4" fillId="0" borderId="12" xfId="3" applyNumberFormat="1" applyFont="1" applyBorder="1" applyAlignment="1" applyProtection="1">
      <alignment horizontal="center"/>
    </xf>
    <xf numFmtId="0" fontId="5" fillId="0" borderId="4" xfId="2" applyBorder="1" applyAlignment="1">
      <alignment horizontal="center" vertical="center" wrapText="1"/>
    </xf>
    <xf numFmtId="0" fontId="3" fillId="10" borderId="12" xfId="0" applyFont="1" applyFill="1" applyBorder="1" applyAlignment="1">
      <alignment horizontal="center" vertical="center"/>
    </xf>
    <xf numFmtId="1" fontId="3" fillId="10" borderId="4" xfId="0" applyNumberFormat="1" applyFont="1" applyFill="1" applyBorder="1" applyAlignment="1">
      <alignment horizontal="center" vertical="center"/>
    </xf>
    <xf numFmtId="164" fontId="3" fillId="10" borderId="4" xfId="0" applyNumberFormat="1" applyFont="1" applyFill="1" applyBorder="1" applyAlignment="1">
      <alignment horizontal="center" vertical="center"/>
    </xf>
    <xf numFmtId="165" fontId="3" fillId="10" borderId="4" xfId="0" applyNumberFormat="1" applyFont="1" applyFill="1" applyBorder="1" applyAlignment="1">
      <alignment horizontal="center" vertical="center"/>
    </xf>
    <xf numFmtId="1" fontId="3" fillId="0" borderId="4" xfId="0" applyNumberFormat="1" applyFont="1" applyBorder="1" applyAlignment="1">
      <alignment horizontal="center" vertical="center"/>
    </xf>
    <xf numFmtId="0" fontId="21" fillId="12" borderId="4" xfId="0" applyFont="1" applyFill="1" applyBorder="1" applyAlignment="1">
      <alignment horizontal="center" vertical="center" wrapText="1"/>
    </xf>
    <xf numFmtId="1" fontId="3" fillId="0" borderId="4" xfId="0" applyNumberFormat="1" applyFont="1" applyBorder="1" applyAlignment="1" applyProtection="1">
      <alignment horizontal="center"/>
    </xf>
    <xf numFmtId="1" fontId="4" fillId="0" borderId="4" xfId="0" applyNumberFormat="1" applyFont="1" applyBorder="1" applyAlignment="1" applyProtection="1">
      <alignment horizontal="center"/>
    </xf>
    <xf numFmtId="0" fontId="21" fillId="12" borderId="7" xfId="0" applyFont="1" applyFill="1" applyBorder="1" applyAlignment="1">
      <alignment horizontal="center" vertical="center" wrapText="1"/>
    </xf>
    <xf numFmtId="2" fontId="3" fillId="0" borderId="4" xfId="0" applyNumberFormat="1" applyFont="1" applyBorder="1" applyAlignment="1" applyProtection="1">
      <alignment horizontal="center"/>
    </xf>
    <xf numFmtId="2" fontId="3" fillId="0" borderId="26" xfId="0" applyNumberFormat="1" applyFont="1" applyBorder="1" applyAlignment="1" applyProtection="1">
      <alignment horizontal="center"/>
    </xf>
    <xf numFmtId="0" fontId="21" fillId="12" borderId="27" xfId="0" applyFont="1" applyFill="1" applyBorder="1" applyAlignment="1">
      <alignment horizontal="center" vertical="center" wrapText="1"/>
    </xf>
    <xf numFmtId="1" fontId="3" fillId="0" borderId="28" xfId="0" applyNumberFormat="1" applyFont="1" applyBorder="1" applyAlignment="1">
      <alignment horizontal="center" vertical="center"/>
    </xf>
    <xf numFmtId="1" fontId="3" fillId="0" borderId="6" xfId="0" applyNumberFormat="1" applyFont="1" applyBorder="1" applyAlignment="1">
      <alignment horizontal="center" vertical="center"/>
    </xf>
    <xf numFmtId="1" fontId="3" fillId="0" borderId="26" xfId="0" applyNumberFormat="1" applyFont="1" applyBorder="1" applyAlignment="1">
      <alignment horizontal="center" vertical="center"/>
    </xf>
    <xf numFmtId="1" fontId="3" fillId="0" borderId="7" xfId="0" applyNumberFormat="1" applyFont="1" applyBorder="1" applyAlignment="1">
      <alignment horizontal="center" vertical="center"/>
    </xf>
    <xf numFmtId="2" fontId="3" fillId="0" borderId="6" xfId="0" applyNumberFormat="1" applyFont="1" applyBorder="1" applyAlignment="1">
      <alignment horizontal="center" vertical="center"/>
    </xf>
    <xf numFmtId="2" fontId="3" fillId="0" borderId="28" xfId="0" applyNumberFormat="1" applyFont="1" applyBorder="1" applyAlignment="1">
      <alignment horizontal="center" vertical="center"/>
    </xf>
    <xf numFmtId="0" fontId="21" fillId="12" borderId="31" xfId="0" applyFont="1" applyFill="1" applyBorder="1" applyAlignment="1">
      <alignment horizontal="center" vertical="center" wrapText="1"/>
    </xf>
    <xf numFmtId="2" fontId="3" fillId="0" borderId="31" xfId="0" applyNumberFormat="1" applyFont="1" applyBorder="1" applyAlignment="1">
      <alignment horizontal="center" vertical="center"/>
    </xf>
    <xf numFmtId="2" fontId="3" fillId="0" borderId="7" xfId="0" applyNumberFormat="1" applyFont="1" applyBorder="1" applyAlignment="1">
      <alignment horizontal="center" vertical="center"/>
    </xf>
    <xf numFmtId="0" fontId="3" fillId="0" borderId="9" xfId="0" applyFont="1" applyBorder="1"/>
    <xf numFmtId="0" fontId="3" fillId="0" borderId="33" xfId="0" applyFont="1" applyBorder="1"/>
    <xf numFmtId="0" fontId="21" fillId="12" borderId="12" xfId="0" applyFont="1" applyFill="1" applyBorder="1" applyAlignment="1">
      <alignment horizontal="center" vertical="center" wrapText="1"/>
    </xf>
    <xf numFmtId="0" fontId="21" fillId="12" borderId="19" xfId="0" applyFont="1" applyFill="1" applyBorder="1" applyAlignment="1">
      <alignment horizontal="center" vertical="center" wrapText="1"/>
    </xf>
    <xf numFmtId="1" fontId="3" fillId="0" borderId="35" xfId="0" applyNumberFormat="1" applyFont="1" applyBorder="1" applyAlignment="1">
      <alignment horizontal="center" vertical="center"/>
    </xf>
    <xf numFmtId="0" fontId="21" fillId="12" borderId="36" xfId="0" applyFont="1" applyFill="1" applyBorder="1" applyAlignment="1">
      <alignment horizontal="center" vertical="center" wrapText="1"/>
    </xf>
    <xf numFmtId="1" fontId="3" fillId="0" borderId="4" xfId="0" applyNumberFormat="1" applyFont="1" applyBorder="1" applyAlignment="1">
      <alignment horizontal="center"/>
    </xf>
    <xf numFmtId="1" fontId="3" fillId="0" borderId="35" xfId="0" applyNumberFormat="1" applyFont="1" applyBorder="1" applyAlignment="1">
      <alignment horizontal="center"/>
    </xf>
    <xf numFmtId="2" fontId="3" fillId="0" borderId="6" xfId="0" applyNumberFormat="1" applyFont="1" applyBorder="1" applyAlignment="1">
      <alignment horizontal="center"/>
    </xf>
    <xf numFmtId="0" fontId="21" fillId="12" borderId="37" xfId="0" applyFont="1" applyFill="1" applyBorder="1" applyAlignment="1">
      <alignment horizontal="center" vertical="center" wrapText="1"/>
    </xf>
    <xf numFmtId="2" fontId="3" fillId="0" borderId="38" xfId="0" applyNumberFormat="1" applyFont="1" applyBorder="1" applyAlignment="1">
      <alignment horizontal="center"/>
    </xf>
    <xf numFmtId="0" fontId="3" fillId="0" borderId="39" xfId="0" applyFont="1" applyBorder="1"/>
    <xf numFmtId="0" fontId="3" fillId="0" borderId="0" xfId="0" applyFont="1" applyAlignment="1">
      <alignment wrapText="1"/>
    </xf>
    <xf numFmtId="0" fontId="2" fillId="8" borderId="5" xfId="0" applyFont="1" applyFill="1" applyBorder="1" applyAlignment="1">
      <alignment horizontal="center" vertical="center" wrapText="1"/>
    </xf>
    <xf numFmtId="165" fontId="3" fillId="0" borderId="4" xfId="1" applyNumberFormat="1" applyFont="1" applyBorder="1" applyAlignment="1">
      <alignment horizontal="center" vertical="center"/>
    </xf>
    <xf numFmtId="0" fontId="21" fillId="12" borderId="43" xfId="0" applyFont="1" applyFill="1" applyBorder="1" applyAlignment="1">
      <alignment horizontal="center" vertical="center" wrapText="1"/>
    </xf>
    <xf numFmtId="165" fontId="3" fillId="0" borderId="35" xfId="1" applyNumberFormat="1" applyFont="1" applyBorder="1" applyAlignment="1">
      <alignment horizontal="center" vertical="center"/>
    </xf>
    <xf numFmtId="0" fontId="21" fillId="12" borderId="30" xfId="0" applyFont="1" applyFill="1" applyBorder="1" applyAlignment="1">
      <alignment horizontal="center" vertical="center" wrapText="1"/>
    </xf>
    <xf numFmtId="165" fontId="3" fillId="0" borderId="6" xfId="1" applyNumberFormat="1" applyFont="1" applyBorder="1" applyAlignment="1">
      <alignment horizontal="center" vertical="center"/>
    </xf>
    <xf numFmtId="0" fontId="21" fillId="12" borderId="46" xfId="0" applyFont="1" applyFill="1" applyBorder="1" applyAlignment="1">
      <alignment horizontal="center" vertical="center" wrapText="1"/>
    </xf>
    <xf numFmtId="0" fontId="21" fillId="12" borderId="47" xfId="0" applyFont="1" applyFill="1" applyBorder="1" applyAlignment="1">
      <alignment horizontal="center" vertical="center" wrapText="1"/>
    </xf>
    <xf numFmtId="0" fontId="21" fillId="12" borderId="49" xfId="0" applyFont="1" applyFill="1" applyBorder="1" applyAlignment="1">
      <alignment horizontal="center" vertical="center" wrapText="1"/>
    </xf>
    <xf numFmtId="0" fontId="2" fillId="9" borderId="52" xfId="0" applyFont="1" applyFill="1" applyBorder="1" applyAlignment="1">
      <alignment horizontal="center" vertical="center"/>
    </xf>
    <xf numFmtId="0" fontId="21" fillId="12" borderId="53" xfId="0" applyFont="1" applyFill="1" applyBorder="1" applyAlignment="1">
      <alignment horizontal="center" vertical="center" wrapText="1"/>
    </xf>
    <xf numFmtId="165" fontId="3" fillId="0" borderId="14" xfId="1" applyNumberFormat="1" applyFont="1" applyBorder="1" applyAlignment="1">
      <alignment horizontal="center" vertical="center"/>
    </xf>
    <xf numFmtId="0" fontId="21" fillId="12" borderId="17" xfId="0" applyFont="1" applyFill="1" applyBorder="1" applyAlignment="1">
      <alignment horizontal="center" vertical="center" wrapText="1"/>
    </xf>
    <xf numFmtId="165" fontId="3" fillId="0" borderId="54" xfId="1" applyNumberFormat="1" applyFont="1" applyBorder="1" applyAlignment="1">
      <alignment horizontal="center" vertical="center"/>
    </xf>
    <xf numFmtId="0" fontId="21" fillId="12" borderId="55" xfId="0" applyFont="1" applyFill="1" applyBorder="1" applyAlignment="1">
      <alignment horizontal="center" vertical="center" wrapText="1"/>
    </xf>
    <xf numFmtId="0" fontId="6" fillId="7" borderId="4" xfId="0" applyFont="1" applyFill="1" applyBorder="1" applyAlignment="1">
      <alignment horizontal="center" vertical="center"/>
    </xf>
    <xf numFmtId="0" fontId="6" fillId="8" borderId="5" xfId="0" applyFont="1" applyFill="1" applyBorder="1" applyAlignment="1">
      <alignment horizontal="center" vertical="center"/>
    </xf>
    <xf numFmtId="0" fontId="6" fillId="9" borderId="4" xfId="0" applyFont="1" applyFill="1" applyBorder="1" applyAlignment="1">
      <alignment vertical="center"/>
    </xf>
    <xf numFmtId="4" fontId="1" fillId="10" borderId="4" xfId="0" applyNumberFormat="1" applyFont="1" applyFill="1" applyBorder="1" applyAlignment="1">
      <alignment horizontal="center" vertical="center"/>
    </xf>
    <xf numFmtId="0" fontId="21" fillId="12" borderId="57" xfId="0" applyFont="1" applyFill="1" applyBorder="1" applyAlignment="1">
      <alignment horizontal="center" vertical="center" wrapText="1"/>
    </xf>
    <xf numFmtId="3" fontId="1" fillId="10" borderId="4" xfId="0" applyNumberFormat="1" applyFont="1" applyFill="1" applyBorder="1" applyAlignment="1">
      <alignment horizontal="center" vertical="center"/>
    </xf>
    <xf numFmtId="0" fontId="6" fillId="7" borderId="7" xfId="0" applyFont="1" applyFill="1"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24" fillId="12" borderId="4" xfId="0" applyFont="1" applyFill="1" applyBorder="1" applyAlignment="1">
      <alignment horizontal="center" vertical="center" wrapText="1"/>
    </xf>
    <xf numFmtId="0" fontId="8" fillId="0" borderId="0" xfId="0" applyFont="1" applyAlignment="1">
      <alignment horizontal="left" vertical="center"/>
    </xf>
    <xf numFmtId="0" fontId="11" fillId="0" borderId="0" xfId="0" applyFont="1" applyAlignment="1">
      <alignment horizontal="left" vertical="center"/>
    </xf>
    <xf numFmtId="0" fontId="14" fillId="0" borderId="0" xfId="0" applyFont="1" applyAlignment="1">
      <alignment horizontal="left" vertical="center"/>
    </xf>
    <xf numFmtId="0" fontId="17" fillId="0" borderId="0" xfId="0" applyFont="1" applyAlignment="1">
      <alignment horizontal="left" vertical="center"/>
    </xf>
    <xf numFmtId="0" fontId="16" fillId="0" borderId="0" xfId="0" applyFont="1" applyAlignment="1">
      <alignment horizontal="justify" vertical="center"/>
    </xf>
    <xf numFmtId="0" fontId="14" fillId="0" borderId="0" xfId="0" applyFont="1" applyAlignment="1">
      <alignment horizontal="justify" vertical="center"/>
    </xf>
    <xf numFmtId="0" fontId="27" fillId="0" borderId="61" xfId="0" applyFont="1" applyBorder="1" applyAlignment="1">
      <alignment horizontal="justify" vertical="center" wrapText="1"/>
    </xf>
    <xf numFmtId="0" fontId="27" fillId="0" borderId="62" xfId="0" applyFont="1" applyBorder="1" applyAlignment="1">
      <alignment horizontal="justify" vertical="center" wrapText="1"/>
    </xf>
    <xf numFmtId="0" fontId="29" fillId="0" borderId="62" xfId="0" applyFont="1" applyBorder="1" applyAlignment="1">
      <alignment horizontal="center" vertical="center" wrapText="1"/>
    </xf>
    <xf numFmtId="0" fontId="28" fillId="0" borderId="61" xfId="0" applyFont="1" applyBorder="1" applyAlignment="1">
      <alignment horizontal="justify" vertical="center" wrapText="1"/>
    </xf>
    <xf numFmtId="0" fontId="28" fillId="0" borderId="62" xfId="0" applyFont="1" applyBorder="1" applyAlignment="1">
      <alignment horizontal="justify" vertical="center" wrapText="1"/>
    </xf>
    <xf numFmtId="0" fontId="30" fillId="0" borderId="62" xfId="0" applyFont="1" applyBorder="1" applyAlignment="1">
      <alignment horizontal="center" vertical="center" wrapText="1"/>
    </xf>
    <xf numFmtId="0" fontId="28" fillId="0" borderId="0" xfId="0" applyFont="1" applyAlignment="1">
      <alignment horizontal="justify" vertical="center" wrapText="1"/>
    </xf>
    <xf numFmtId="0" fontId="27" fillId="0" borderId="64" xfId="0" applyFont="1" applyBorder="1" applyAlignment="1">
      <alignment horizontal="justify" vertical="center" wrapText="1"/>
    </xf>
    <xf numFmtId="14" fontId="28" fillId="0" borderId="0" xfId="0" applyNumberFormat="1" applyFont="1" applyAlignment="1">
      <alignment horizontal="justify" vertical="center" wrapText="1"/>
    </xf>
    <xf numFmtId="0" fontId="32" fillId="0" borderId="0" xfId="0" applyFont="1" applyAlignment="1">
      <alignment horizontal="justify" vertical="center"/>
    </xf>
    <xf numFmtId="0" fontId="27" fillId="0" borderId="0" xfId="0" applyFont="1" applyAlignment="1">
      <alignment horizontal="justify" vertical="center"/>
    </xf>
    <xf numFmtId="0" fontId="16" fillId="0" borderId="0" xfId="0" applyFont="1" applyAlignment="1">
      <alignment horizontal="left" vertical="center"/>
    </xf>
    <xf numFmtId="0" fontId="28" fillId="0" borderId="0" xfId="0" applyFont="1" applyAlignment="1">
      <alignment horizontal="left"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wrapText="1"/>
    </xf>
    <xf numFmtId="0" fontId="6" fillId="10" borderId="4" xfId="0" applyFont="1" applyFill="1" applyBorder="1" applyAlignment="1">
      <alignment horizontal="center" vertical="center" wrapText="1"/>
    </xf>
    <xf numFmtId="0" fontId="0" fillId="10" borderId="4" xfId="0" applyFill="1" applyBorder="1" applyAlignment="1">
      <alignment horizontal="center" vertical="center" wrapText="1"/>
    </xf>
    <xf numFmtId="0" fontId="3" fillId="0" borderId="4" xfId="0" applyFont="1" applyBorder="1" applyAlignment="1">
      <alignment horizontal="center" vertical="center"/>
    </xf>
    <xf numFmtId="0" fontId="2" fillId="10"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0" borderId="0" xfId="0" applyFont="1" applyAlignment="1">
      <alignment horizontal="center"/>
    </xf>
    <xf numFmtId="0" fontId="3" fillId="10" borderId="4" xfId="0" applyFont="1" applyFill="1" applyBorder="1" applyAlignment="1">
      <alignment horizontal="center" vertical="center"/>
    </xf>
    <xf numFmtId="0" fontId="33" fillId="10" borderId="4" xfId="0" applyFont="1" applyFill="1" applyBorder="1" applyAlignment="1">
      <alignment horizontal="center" vertical="center"/>
    </xf>
    <xf numFmtId="4" fontId="33" fillId="10" borderId="4" xfId="0" applyNumberFormat="1" applyFont="1" applyFill="1" applyBorder="1" applyAlignment="1">
      <alignment horizontal="center" vertical="center"/>
    </xf>
    <xf numFmtId="4" fontId="3" fillId="10" borderId="4" xfId="0" applyNumberFormat="1" applyFont="1" applyFill="1" applyBorder="1" applyAlignment="1">
      <alignment horizontal="center" vertical="center"/>
    </xf>
    <xf numFmtId="0" fontId="3" fillId="10" borderId="0" xfId="0" applyFont="1" applyFill="1"/>
    <xf numFmtId="0" fontId="2" fillId="7" borderId="4" xfId="0" applyFont="1" applyFill="1" applyBorder="1" applyAlignment="1">
      <alignment horizontal="center" vertical="center"/>
    </xf>
    <xf numFmtId="166" fontId="33" fillId="10" borderId="4" xfId="0" applyNumberFormat="1" applyFont="1" applyFill="1" applyBorder="1" applyAlignment="1">
      <alignment horizontal="center" vertical="center"/>
    </xf>
    <xf numFmtId="166" fontId="3" fillId="10" borderId="4" xfId="0" applyNumberFormat="1" applyFont="1" applyFill="1" applyBorder="1" applyAlignment="1">
      <alignment horizontal="center" vertical="center"/>
    </xf>
    <xf numFmtId="0" fontId="3" fillId="10" borderId="4" xfId="0" applyFont="1" applyFill="1" applyBorder="1" applyAlignment="1">
      <alignment horizontal="center" vertical="top" wrapText="1"/>
    </xf>
    <xf numFmtId="0" fontId="2" fillId="10" borderId="0" xfId="0" applyFont="1" applyFill="1" applyAlignment="1">
      <alignment vertical="center"/>
    </xf>
    <xf numFmtId="0" fontId="3" fillId="10" borderId="0" xfId="0" applyFont="1" applyFill="1" applyAlignment="1">
      <alignment horizontal="center" vertical="center" wrapText="1"/>
    </xf>
    <xf numFmtId="0" fontId="3" fillId="10" borderId="0" xfId="0" applyFont="1" applyFill="1" applyAlignment="1">
      <alignment vertical="center" wrapText="1"/>
    </xf>
    <xf numFmtId="0" fontId="3" fillId="10" borderId="0" xfId="0" applyFont="1" applyFill="1" applyAlignment="1">
      <alignment horizontal="center" vertical="center"/>
    </xf>
    <xf numFmtId="4" fontId="33" fillId="0" borderId="4" xfId="0" applyNumberFormat="1" applyFont="1" applyFill="1" applyBorder="1" applyAlignment="1">
      <alignment horizontal="center" vertical="center"/>
    </xf>
    <xf numFmtId="4" fontId="3" fillId="0" borderId="4" xfId="0" applyNumberFormat="1" applyFont="1" applyFill="1" applyBorder="1" applyAlignment="1">
      <alignment horizontal="center" vertical="center"/>
    </xf>
    <xf numFmtId="0" fontId="3" fillId="10" borderId="4" xfId="0" applyFont="1" applyFill="1" applyBorder="1" applyAlignment="1">
      <alignment vertical="center" wrapText="1"/>
    </xf>
    <xf numFmtId="0" fontId="3" fillId="10" borderId="4" xfId="0" applyFont="1" applyFill="1" applyBorder="1" applyAlignment="1">
      <alignment vertical="top" wrapText="1"/>
    </xf>
    <xf numFmtId="164" fontId="33" fillId="10" borderId="4" xfId="0" applyNumberFormat="1" applyFont="1" applyFill="1" applyBorder="1" applyAlignment="1">
      <alignment horizontal="center" vertical="center"/>
    </xf>
    <xf numFmtId="0" fontId="34" fillId="2" borderId="0" xfId="0" applyFont="1" applyFill="1" applyAlignment="1" applyProtection="1"/>
    <xf numFmtId="0" fontId="2" fillId="2" borderId="0" xfId="0" applyFont="1" applyFill="1" applyAlignment="1" applyProtection="1"/>
    <xf numFmtId="0" fontId="3" fillId="0" borderId="0" xfId="0" applyFont="1" applyAlignment="1" applyProtection="1"/>
    <xf numFmtId="10" fontId="3" fillId="0" borderId="0" xfId="0" applyNumberFormat="1" applyFont="1" applyAlignment="1" applyProtection="1"/>
    <xf numFmtId="0" fontId="3" fillId="0" borderId="1" xfId="0" applyFont="1" applyBorder="1" applyAlignment="1" applyProtection="1">
      <alignment horizontal="center"/>
    </xf>
    <xf numFmtId="0" fontId="34" fillId="3" borderId="1" xfId="0" applyFont="1" applyFill="1" applyBorder="1" applyAlignment="1" applyProtection="1">
      <alignment horizontal="center"/>
    </xf>
    <xf numFmtId="0" fontId="3" fillId="4" borderId="2" xfId="0" applyFont="1" applyFill="1" applyBorder="1" applyAlignment="1">
      <alignment horizontal="center"/>
    </xf>
    <xf numFmtId="164" fontId="3" fillId="4" borderId="2" xfId="0" applyNumberFormat="1" applyFont="1" applyFill="1" applyBorder="1" applyAlignment="1">
      <alignment horizontal="center"/>
    </xf>
    <xf numFmtId="10" fontId="3" fillId="4" borderId="2" xfId="1" applyNumberFormat="1" applyFont="1" applyFill="1" applyBorder="1" applyAlignment="1">
      <alignment horizontal="center"/>
    </xf>
    <xf numFmtId="2" fontId="3" fillId="4" borderId="2" xfId="0" applyNumberFormat="1" applyFont="1" applyFill="1" applyBorder="1" applyAlignment="1">
      <alignment horizontal="center"/>
    </xf>
    <xf numFmtId="0" fontId="3" fillId="5" borderId="2" xfId="0" applyFont="1" applyFill="1" applyBorder="1" applyAlignment="1">
      <alignment horizontal="center"/>
    </xf>
    <xf numFmtId="164" fontId="3" fillId="5" borderId="2" xfId="0" applyNumberFormat="1" applyFont="1" applyFill="1" applyBorder="1" applyAlignment="1">
      <alignment horizontal="center"/>
    </xf>
    <xf numFmtId="10" fontId="3" fillId="5" borderId="2" xfId="1" applyNumberFormat="1" applyFont="1" applyFill="1" applyBorder="1" applyAlignment="1">
      <alignment horizontal="center"/>
    </xf>
    <xf numFmtId="2" fontId="3" fillId="5" borderId="2" xfId="0" applyNumberFormat="1" applyFont="1" applyFill="1" applyBorder="1" applyAlignment="1">
      <alignment horizontal="center"/>
    </xf>
    <xf numFmtId="0" fontId="20" fillId="4" borderId="2" xfId="0" applyFont="1" applyFill="1" applyBorder="1" applyAlignment="1">
      <alignment horizontal="center"/>
    </xf>
    <xf numFmtId="164" fontId="20" fillId="4" borderId="2" xfId="0" applyNumberFormat="1" applyFont="1" applyFill="1" applyBorder="1" applyAlignment="1">
      <alignment horizontal="center"/>
    </xf>
    <xf numFmtId="9" fontId="20" fillId="4" borderId="2" xfId="1" applyFont="1" applyFill="1" applyBorder="1" applyAlignment="1">
      <alignment horizontal="center"/>
    </xf>
    <xf numFmtId="164" fontId="3" fillId="0" borderId="0" xfId="0" applyNumberFormat="1" applyFont="1"/>
    <xf numFmtId="0" fontId="34" fillId="3" borderId="0" xfId="0" applyFont="1" applyFill="1" applyAlignment="1" applyProtection="1">
      <alignment horizontal="center"/>
    </xf>
    <xf numFmtId="0" fontId="3" fillId="13" borderId="3" xfId="0" applyFont="1" applyFill="1" applyBorder="1" applyAlignment="1" applyProtection="1">
      <alignment horizontal="center"/>
    </xf>
    <xf numFmtId="164" fontId="3" fillId="13" borderId="3" xfId="0" applyNumberFormat="1" applyFont="1" applyFill="1" applyBorder="1" applyAlignment="1" applyProtection="1">
      <alignment horizontal="center"/>
    </xf>
    <xf numFmtId="2" fontId="3" fillId="13" borderId="3" xfId="0" applyNumberFormat="1" applyFont="1" applyFill="1" applyBorder="1" applyAlignment="1" applyProtection="1">
      <alignment horizontal="center"/>
    </xf>
    <xf numFmtId="10" fontId="3" fillId="13" borderId="0" xfId="1" applyNumberFormat="1" applyFont="1" applyFill="1" applyBorder="1" applyAlignment="1" applyProtection="1">
      <alignment horizontal="center"/>
    </xf>
    <xf numFmtId="0" fontId="3" fillId="13" borderId="0" xfId="0" applyFont="1" applyFill="1" applyBorder="1" applyAlignment="1" applyProtection="1">
      <alignment horizontal="center"/>
    </xf>
    <xf numFmtId="164" fontId="3" fillId="13" borderId="0" xfId="0" applyNumberFormat="1" applyFont="1" applyFill="1" applyBorder="1" applyAlignment="1" applyProtection="1">
      <alignment horizontal="center"/>
    </xf>
    <xf numFmtId="2" fontId="3" fillId="13" borderId="0" xfId="0" applyNumberFormat="1" applyFont="1" applyFill="1" applyBorder="1" applyAlignment="1" applyProtection="1">
      <alignment horizontal="center"/>
    </xf>
    <xf numFmtId="0" fontId="3" fillId="13" borderId="1" xfId="0" applyFont="1" applyFill="1" applyBorder="1" applyAlignment="1" applyProtection="1">
      <alignment horizontal="center"/>
    </xf>
    <xf numFmtId="164" fontId="3" fillId="13" borderId="1" xfId="0" applyNumberFormat="1" applyFont="1" applyFill="1" applyBorder="1" applyAlignment="1" applyProtection="1">
      <alignment horizontal="center"/>
    </xf>
    <xf numFmtId="2" fontId="3" fillId="13" borderId="1" xfId="0" applyNumberFormat="1" applyFont="1" applyFill="1" applyBorder="1" applyAlignment="1" applyProtection="1">
      <alignment horizontal="center"/>
    </xf>
    <xf numFmtId="10" fontId="3" fillId="13" borderId="1" xfId="1" applyNumberFormat="1" applyFont="1" applyFill="1" applyBorder="1" applyAlignment="1" applyProtection="1">
      <alignment horizontal="center"/>
    </xf>
    <xf numFmtId="0" fontId="3" fillId="14" borderId="0" xfId="0" applyFont="1" applyFill="1" applyBorder="1" applyAlignment="1" applyProtection="1">
      <alignment horizontal="center"/>
    </xf>
    <xf numFmtId="164" fontId="3" fillId="5" borderId="0" xfId="0" applyNumberFormat="1" applyFont="1" applyFill="1" applyAlignment="1">
      <alignment horizontal="center"/>
    </xf>
    <xf numFmtId="2" fontId="3" fillId="5" borderId="0" xfId="0" applyNumberFormat="1" applyFont="1" applyFill="1" applyAlignment="1">
      <alignment horizontal="center"/>
    </xf>
    <xf numFmtId="10" fontId="3" fillId="5" borderId="0" xfId="1" applyNumberFormat="1" applyFont="1" applyFill="1" applyAlignment="1">
      <alignment horizontal="center"/>
    </xf>
    <xf numFmtId="0" fontId="3" fillId="14" borderId="0" xfId="0" applyFont="1" applyFill="1" applyAlignment="1" applyProtection="1">
      <alignment horizontal="center"/>
    </xf>
    <xf numFmtId="0" fontId="3" fillId="14" borderId="1" xfId="0" applyFont="1" applyFill="1" applyBorder="1" applyAlignment="1" applyProtection="1">
      <alignment horizontal="center"/>
    </xf>
    <xf numFmtId="10" fontId="3" fillId="5" borderId="1" xfId="1" applyNumberFormat="1" applyFont="1" applyFill="1" applyBorder="1" applyAlignment="1">
      <alignment horizontal="center"/>
    </xf>
    <xf numFmtId="0" fontId="20" fillId="13" borderId="3" xfId="0" applyFont="1" applyFill="1" applyBorder="1" applyAlignment="1" applyProtection="1">
      <alignment horizontal="center"/>
    </xf>
    <xf numFmtId="164" fontId="20" fillId="13" borderId="3" xfId="0" applyNumberFormat="1" applyFont="1" applyFill="1" applyBorder="1" applyAlignment="1" applyProtection="1">
      <alignment horizontal="center"/>
    </xf>
    <xf numFmtId="2" fontId="20" fillId="13" borderId="3" xfId="0" applyNumberFormat="1" applyFont="1" applyFill="1" applyBorder="1" applyAlignment="1" applyProtection="1">
      <alignment horizontal="center"/>
    </xf>
    <xf numFmtId="10" fontId="20" fillId="13" borderId="0" xfId="1" applyNumberFormat="1" applyFont="1" applyFill="1" applyBorder="1" applyAlignment="1" applyProtection="1">
      <alignment horizontal="center"/>
    </xf>
    <xf numFmtId="10" fontId="20" fillId="13" borderId="3" xfId="1" applyNumberFormat="1" applyFont="1" applyFill="1" applyBorder="1" applyAlignment="1" applyProtection="1">
      <alignment horizontal="center"/>
    </xf>
    <xf numFmtId="0" fontId="20" fillId="13" borderId="0" xfId="0" applyFont="1" applyFill="1" applyBorder="1" applyAlignment="1" applyProtection="1">
      <alignment horizontal="center"/>
    </xf>
    <xf numFmtId="164" fontId="20" fillId="13" borderId="0" xfId="0" applyNumberFormat="1" applyFont="1" applyFill="1" applyBorder="1" applyAlignment="1" applyProtection="1">
      <alignment horizontal="center"/>
    </xf>
    <xf numFmtId="2" fontId="20" fillId="13" borderId="0" xfId="0" applyNumberFormat="1" applyFont="1" applyFill="1" applyBorder="1" applyAlignment="1" applyProtection="1">
      <alignment horizontal="center"/>
    </xf>
    <xf numFmtId="0" fontId="20" fillId="13" borderId="1" xfId="0" applyFont="1" applyFill="1" applyBorder="1" applyAlignment="1" applyProtection="1">
      <alignment horizontal="center"/>
    </xf>
    <xf numFmtId="164" fontId="20" fillId="13" borderId="1" xfId="0" applyNumberFormat="1" applyFont="1" applyFill="1" applyBorder="1" applyAlignment="1" applyProtection="1">
      <alignment horizontal="center"/>
    </xf>
    <xf numFmtId="2" fontId="20" fillId="13" borderId="1" xfId="0" applyNumberFormat="1" applyFont="1" applyFill="1" applyBorder="1" applyAlignment="1" applyProtection="1">
      <alignment horizontal="center"/>
    </xf>
    <xf numFmtId="10" fontId="20" fillId="13" borderId="1" xfId="1" applyNumberFormat="1" applyFont="1" applyFill="1" applyBorder="1" applyAlignment="1" applyProtection="1">
      <alignment horizontal="center"/>
    </xf>
    <xf numFmtId="0" fontId="20" fillId="5" borderId="2" xfId="0" applyFont="1" applyFill="1" applyBorder="1" applyAlignment="1">
      <alignment horizontal="center"/>
    </xf>
    <xf numFmtId="164" fontId="20" fillId="5" borderId="2" xfId="0" applyNumberFormat="1" applyFont="1" applyFill="1" applyBorder="1" applyAlignment="1">
      <alignment horizontal="center"/>
    </xf>
    <xf numFmtId="2" fontId="20" fillId="5" borderId="2" xfId="0" applyNumberFormat="1" applyFont="1" applyFill="1" applyBorder="1" applyAlignment="1">
      <alignment horizontal="center"/>
    </xf>
    <xf numFmtId="9" fontId="20" fillId="5" borderId="2" xfId="1" applyFont="1" applyFill="1" applyBorder="1" applyAlignment="1">
      <alignment horizontal="center"/>
    </xf>
    <xf numFmtId="0" fontId="35" fillId="0" borderId="4" xfId="0" applyFont="1" applyBorder="1" applyAlignment="1">
      <alignment horizontal="center"/>
    </xf>
    <xf numFmtId="4" fontId="35" fillId="0" borderId="4" xfId="0" applyNumberFormat="1" applyFont="1" applyBorder="1" applyAlignment="1">
      <alignment horizontal="center"/>
    </xf>
    <xf numFmtId="4" fontId="35" fillId="0" borderId="4" xfId="0" applyNumberFormat="1" applyFont="1" applyBorder="1" applyAlignment="1">
      <alignment horizontal="center" vertical="center"/>
    </xf>
    <xf numFmtId="0" fontId="2" fillId="9" borderId="7" xfId="0" applyFont="1" applyFill="1" applyBorder="1" applyAlignment="1">
      <alignment vertical="center" wrapText="1"/>
    </xf>
    <xf numFmtId="1" fontId="2" fillId="0" borderId="4" xfId="0" applyNumberFormat="1" applyFont="1" applyBorder="1" applyAlignment="1">
      <alignment horizontal="center" vertical="center" wrapText="1"/>
    </xf>
    <xf numFmtId="1" fontId="3" fillId="0" borderId="4" xfId="0" applyNumberFormat="1" applyFont="1" applyBorder="1" applyAlignment="1">
      <alignment horizontal="center" vertical="center" wrapText="1"/>
    </xf>
    <xf numFmtId="0" fontId="34" fillId="8" borderId="4" xfId="0" applyFont="1" applyFill="1" applyBorder="1" applyAlignment="1">
      <alignment horizontal="center" vertical="center" wrapText="1"/>
    </xf>
    <xf numFmtId="164" fontId="3" fillId="0" borderId="0" xfId="0" applyNumberFormat="1" applyFont="1" applyAlignment="1">
      <alignment vertical="center"/>
    </xf>
    <xf numFmtId="0" fontId="2" fillId="8" borderId="56" xfId="0" applyFont="1" applyFill="1" applyBorder="1" applyAlignment="1">
      <alignment horizontal="center" vertical="center"/>
    </xf>
    <xf numFmtId="3" fontId="3" fillId="10" borderId="4" xfId="0" applyNumberFormat="1" applyFont="1" applyFill="1" applyBorder="1" applyAlignment="1">
      <alignment horizontal="center" vertical="center"/>
    </xf>
    <xf numFmtId="0" fontId="3" fillId="2" borderId="0" xfId="0" applyFont="1" applyFill="1" applyAlignment="1" applyProtection="1"/>
    <xf numFmtId="0" fontId="34" fillId="0" borderId="0" xfId="0" applyFont="1" applyFill="1" applyAlignment="1" applyProtection="1"/>
    <xf numFmtId="0" fontId="2" fillId="0" borderId="0" xfId="0" applyFont="1" applyFill="1" applyAlignment="1" applyProtection="1"/>
    <xf numFmtId="0" fontId="3" fillId="0" borderId="0" xfId="0" applyFont="1" applyFill="1" applyAlignment="1" applyProtection="1"/>
    <xf numFmtId="9" fontId="3" fillId="4" borderId="2" xfId="1" applyNumberFormat="1" applyFont="1" applyFill="1" applyBorder="1" applyAlignment="1">
      <alignment horizontal="center"/>
    </xf>
    <xf numFmtId="1" fontId="3" fillId="4" borderId="2" xfId="0" applyNumberFormat="1" applyFont="1" applyFill="1" applyBorder="1" applyAlignment="1">
      <alignment horizontal="center"/>
    </xf>
    <xf numFmtId="1" fontId="20" fillId="5" borderId="2" xfId="0" applyNumberFormat="1" applyFont="1" applyFill="1" applyBorder="1" applyAlignment="1">
      <alignment horizontal="center"/>
    </xf>
    <xf numFmtId="0" fontId="3" fillId="6" borderId="3" xfId="0" applyFont="1" applyFill="1" applyBorder="1" applyAlignment="1" applyProtection="1">
      <alignment horizontal="center"/>
    </xf>
    <xf numFmtId="2" fontId="3" fillId="6" borderId="3" xfId="0" applyNumberFormat="1" applyFont="1" applyFill="1" applyBorder="1" applyAlignment="1" applyProtection="1">
      <alignment horizontal="center"/>
    </xf>
    <xf numFmtId="1" fontId="3" fillId="6" borderId="3" xfId="0" applyNumberFormat="1" applyFont="1" applyFill="1" applyBorder="1" applyAlignment="1" applyProtection="1">
      <alignment horizontal="center"/>
    </xf>
    <xf numFmtId="10" fontId="3" fillId="6" borderId="3" xfId="1" applyNumberFormat="1" applyFont="1" applyFill="1" applyBorder="1" applyAlignment="1" applyProtection="1">
      <alignment horizontal="center"/>
    </xf>
    <xf numFmtId="0" fontId="3" fillId="6" borderId="0" xfId="0" applyFont="1" applyFill="1" applyAlignment="1" applyProtection="1">
      <alignment horizontal="center"/>
    </xf>
    <xf numFmtId="2" fontId="3" fillId="6" borderId="0" xfId="0" applyNumberFormat="1" applyFont="1" applyFill="1" applyAlignment="1" applyProtection="1">
      <alignment horizontal="center"/>
    </xf>
    <xf numFmtId="1" fontId="3" fillId="6" borderId="0" xfId="0" applyNumberFormat="1" applyFont="1" applyFill="1" applyAlignment="1" applyProtection="1">
      <alignment horizontal="center"/>
    </xf>
    <xf numFmtId="10" fontId="3" fillId="6" borderId="0" xfId="1" applyNumberFormat="1" applyFont="1" applyFill="1" applyBorder="1" applyAlignment="1" applyProtection="1">
      <alignment horizontal="center"/>
    </xf>
    <xf numFmtId="0" fontId="3" fillId="6" borderId="1" xfId="0" applyFont="1" applyFill="1" applyBorder="1" applyAlignment="1" applyProtection="1">
      <alignment horizontal="center"/>
    </xf>
    <xf numFmtId="2" fontId="3" fillId="6" borderId="1" xfId="0" applyNumberFormat="1" applyFont="1" applyFill="1" applyBorder="1" applyAlignment="1" applyProtection="1">
      <alignment horizontal="center"/>
    </xf>
    <xf numFmtId="1" fontId="3" fillId="6" borderId="1" xfId="0" applyNumberFormat="1" applyFont="1" applyFill="1" applyBorder="1" applyAlignment="1" applyProtection="1">
      <alignment horizontal="center"/>
    </xf>
    <xf numFmtId="10" fontId="3" fillId="6" borderId="1" xfId="1" applyNumberFormat="1" applyFont="1" applyFill="1" applyBorder="1" applyAlignment="1" applyProtection="1">
      <alignment horizontal="center"/>
    </xf>
    <xf numFmtId="10" fontId="3" fillId="0" borderId="0" xfId="1" applyNumberFormat="1" applyFont="1"/>
    <xf numFmtId="2" fontId="3" fillId="0" borderId="0" xfId="0" applyNumberFormat="1" applyFont="1"/>
    <xf numFmtId="1" fontId="3" fillId="0" borderId="0" xfId="0" applyNumberFormat="1" applyFont="1"/>
    <xf numFmtId="167" fontId="3" fillId="10" borderId="4" xfId="0" applyNumberFormat="1" applyFont="1" applyFill="1" applyBorder="1" applyAlignment="1">
      <alignment horizontal="center" vertical="center"/>
    </xf>
    <xf numFmtId="0" fontId="3" fillId="10" borderId="12" xfId="0" applyFont="1" applyFill="1" applyBorder="1" applyAlignment="1">
      <alignment horizontal="center" vertical="center" wrapText="1"/>
    </xf>
    <xf numFmtId="0" fontId="24" fillId="12" borderId="71" xfId="0" applyFont="1" applyFill="1" applyBorder="1" applyAlignment="1">
      <alignment horizontal="center" vertical="center" wrapText="1"/>
    </xf>
    <xf numFmtId="1" fontId="3" fillId="0" borderId="38" xfId="0" applyNumberFormat="1" applyFont="1" applyBorder="1" applyAlignment="1">
      <alignment horizontal="center" vertical="center"/>
    </xf>
    <xf numFmtId="0" fontId="24" fillId="12" borderId="6" xfId="0" applyFont="1" applyFill="1" applyBorder="1" applyAlignment="1">
      <alignment horizontal="center" vertical="center" wrapText="1"/>
    </xf>
    <xf numFmtId="0" fontId="24" fillId="12" borderId="7" xfId="0" applyFont="1" applyFill="1" applyBorder="1" applyAlignment="1">
      <alignment horizontal="center" vertical="center" wrapText="1"/>
    </xf>
    <xf numFmtId="0" fontId="24" fillId="12" borderId="27" xfId="0" applyFont="1" applyFill="1" applyBorder="1" applyAlignment="1">
      <alignment horizontal="center" vertical="center" wrapText="1"/>
    </xf>
    <xf numFmtId="0" fontId="24" fillId="12" borderId="38" xfId="0" applyFont="1" applyFill="1" applyBorder="1" applyAlignment="1">
      <alignment horizontal="center" vertical="center" wrapText="1"/>
    </xf>
    <xf numFmtId="2" fontId="3" fillId="0" borderId="38" xfId="0" applyNumberFormat="1" applyFont="1" applyBorder="1" applyAlignment="1">
      <alignment horizontal="center" vertical="center"/>
    </xf>
    <xf numFmtId="0" fontId="24" fillId="12" borderId="12" xfId="0" applyFont="1" applyFill="1" applyBorder="1" applyAlignment="1">
      <alignment horizontal="center" vertical="center" wrapText="1"/>
    </xf>
    <xf numFmtId="0" fontId="24" fillId="12" borderId="19" xfId="0" applyFont="1" applyFill="1" applyBorder="1" applyAlignment="1">
      <alignment horizontal="center" vertical="center" wrapText="1"/>
    </xf>
    <xf numFmtId="0" fontId="24" fillId="12" borderId="36" xfId="0" applyFont="1" applyFill="1" applyBorder="1" applyAlignment="1">
      <alignment horizontal="center" vertical="center" wrapText="1"/>
    </xf>
    <xf numFmtId="0" fontId="24" fillId="12" borderId="73" xfId="0" applyFont="1" applyFill="1" applyBorder="1" applyAlignment="1">
      <alignment horizontal="center" vertical="center" wrapText="1"/>
    </xf>
    <xf numFmtId="0" fontId="24" fillId="12" borderId="24" xfId="0" applyFont="1" applyFill="1" applyBorder="1" applyAlignment="1">
      <alignment horizontal="center" vertical="center" wrapText="1"/>
    </xf>
    <xf numFmtId="164" fontId="3" fillId="0" borderId="4" xfId="1" applyNumberFormat="1" applyFont="1" applyBorder="1" applyAlignment="1">
      <alignment horizontal="center"/>
    </xf>
    <xf numFmtId="164" fontId="3" fillId="0" borderId="35" xfId="1" applyNumberFormat="1" applyFont="1" applyBorder="1" applyAlignment="1">
      <alignment horizontal="center"/>
    </xf>
    <xf numFmtId="164" fontId="3" fillId="0" borderId="6" xfId="1" applyNumberFormat="1" applyFont="1" applyBorder="1" applyAlignment="1">
      <alignment horizontal="center"/>
    </xf>
    <xf numFmtId="0" fontId="2" fillId="9" borderId="52" xfId="0" applyFont="1" applyFill="1" applyBorder="1" applyAlignment="1">
      <alignment vertical="center"/>
    </xf>
    <xf numFmtId="164" fontId="3" fillId="0" borderId="14" xfId="1" applyNumberFormat="1" applyFont="1" applyBorder="1" applyAlignment="1">
      <alignment horizontal="center" vertical="center"/>
    </xf>
    <xf numFmtId="0" fontId="2" fillId="9" borderId="52" xfId="0" applyFont="1" applyFill="1" applyBorder="1" applyAlignment="1">
      <alignment horizontal="left" vertical="center"/>
    </xf>
    <xf numFmtId="164" fontId="3" fillId="0" borderId="54" xfId="1" applyNumberFormat="1" applyFont="1" applyBorder="1" applyAlignment="1">
      <alignment horizontal="center"/>
    </xf>
    <xf numFmtId="2" fontId="3" fillId="10" borderId="4" xfId="0" applyNumberFormat="1" applyFont="1" applyFill="1" applyBorder="1" applyAlignment="1">
      <alignment horizontal="center" vertical="center"/>
    </xf>
    <xf numFmtId="4" fontId="3" fillId="0" borderId="0" xfId="0" applyNumberFormat="1" applyFont="1"/>
    <xf numFmtId="166" fontId="3" fillId="0" borderId="0" xfId="0" applyNumberFormat="1" applyFont="1"/>
    <xf numFmtId="0" fontId="35" fillId="0" borderId="0" xfId="0" applyFont="1"/>
    <xf numFmtId="164" fontId="35" fillId="0" borderId="4" xfId="0" applyNumberFormat="1" applyFont="1" applyBorder="1" applyAlignment="1">
      <alignment horizontal="center"/>
    </xf>
    <xf numFmtId="168" fontId="35" fillId="0" borderId="4" xfId="0" applyNumberFormat="1" applyFont="1" applyBorder="1" applyAlignment="1">
      <alignment horizontal="center" vertical="center"/>
    </xf>
    <xf numFmtId="1" fontId="35" fillId="0" borderId="4" xfId="0" applyNumberFormat="1" applyFont="1" applyBorder="1" applyAlignment="1">
      <alignment horizontal="center" vertical="center" wrapText="1"/>
    </xf>
    <xf numFmtId="1" fontId="35" fillId="0" borderId="4" xfId="0" applyNumberFormat="1" applyFont="1" applyBorder="1" applyAlignment="1">
      <alignment horizontal="center" vertical="center"/>
    </xf>
    <xf numFmtId="0" fontId="35" fillId="0" borderId="0" xfId="0" applyFont="1" applyAlignment="1">
      <alignment vertical="center"/>
    </xf>
    <xf numFmtId="0" fontId="36" fillId="8" borderId="5" xfId="0" applyFont="1" applyFill="1" applyBorder="1" applyAlignment="1">
      <alignment horizontal="center" vertical="center"/>
    </xf>
    <xf numFmtId="167" fontId="3" fillId="4" borderId="2" xfId="0" applyNumberFormat="1" applyFont="1" applyFill="1" applyBorder="1" applyAlignment="1">
      <alignment horizontal="center"/>
    </xf>
    <xf numFmtId="167" fontId="3" fillId="5" borderId="2" xfId="0" applyNumberFormat="1" applyFont="1" applyFill="1" applyBorder="1" applyAlignment="1">
      <alignment horizontal="center"/>
    </xf>
    <xf numFmtId="1" fontId="20" fillId="4" borderId="2" xfId="0" applyNumberFormat="1" applyFont="1" applyFill="1" applyBorder="1" applyAlignment="1">
      <alignment horizontal="center"/>
    </xf>
    <xf numFmtId="9" fontId="20" fillId="4" borderId="2" xfId="0" applyNumberFormat="1" applyFont="1" applyFill="1" applyBorder="1" applyAlignment="1">
      <alignment horizontal="center"/>
    </xf>
    <xf numFmtId="2" fontId="20" fillId="4" borderId="2" xfId="0" applyNumberFormat="1" applyFont="1" applyFill="1" applyBorder="1" applyAlignment="1">
      <alignment horizontal="center"/>
    </xf>
    <xf numFmtId="169" fontId="3" fillId="0" borderId="0" xfId="0" applyNumberFormat="1" applyFont="1"/>
    <xf numFmtId="0" fontId="18" fillId="12" borderId="4" xfId="0" applyFont="1" applyFill="1" applyBorder="1" applyAlignment="1">
      <alignment horizontal="center" vertical="center" wrapText="1"/>
    </xf>
    <xf numFmtId="4" fontId="3" fillId="0" borderId="4" xfId="0" applyNumberFormat="1" applyFont="1" applyBorder="1" applyAlignment="1">
      <alignment horizontal="center"/>
    </xf>
    <xf numFmtId="168" fontId="3" fillId="0" borderId="4" xfId="0" applyNumberFormat="1" applyFont="1" applyBorder="1" applyAlignment="1">
      <alignment horizontal="center" vertical="center"/>
    </xf>
    <xf numFmtId="0" fontId="2" fillId="0" borderId="0" xfId="0" applyFont="1" applyFill="1" applyBorder="1" applyAlignment="1">
      <alignment horizontal="center"/>
    </xf>
    <xf numFmtId="4" fontId="3" fillId="0" borderId="0" xfId="0" applyNumberFormat="1" applyFont="1" applyFill="1" applyBorder="1" applyAlignment="1">
      <alignment horizontal="center"/>
    </xf>
    <xf numFmtId="0" fontId="3" fillId="0" borderId="0" xfId="0" applyFont="1" applyFill="1" applyBorder="1" applyAlignment="1">
      <alignment wrapText="1"/>
    </xf>
    <xf numFmtId="0" fontId="3" fillId="0" borderId="0" xfId="0" applyFont="1" applyFill="1" applyBorder="1"/>
    <xf numFmtId="0" fontId="2" fillId="7" borderId="6" xfId="0" applyFont="1" applyFill="1" applyBorder="1" applyAlignment="1">
      <alignment horizontal="center"/>
    </xf>
    <xf numFmtId="0" fontId="37" fillId="0" borderId="0" xfId="0" applyFont="1"/>
    <xf numFmtId="170" fontId="3" fillId="0" borderId="0" xfId="0" applyNumberFormat="1" applyFont="1"/>
    <xf numFmtId="3" fontId="3" fillId="0" borderId="4" xfId="0" applyNumberFormat="1" applyFont="1" applyBorder="1" applyAlignment="1">
      <alignment horizontal="center"/>
    </xf>
    <xf numFmtId="3" fontId="3" fillId="0" borderId="4" xfId="0" applyNumberFormat="1" applyFont="1" applyBorder="1" applyAlignment="1">
      <alignment horizontal="center" vertical="center"/>
    </xf>
    <xf numFmtId="3" fontId="3" fillId="0" borderId="7" xfId="0" applyNumberFormat="1" applyFont="1" applyBorder="1" applyAlignment="1">
      <alignment horizontal="center" vertical="center"/>
    </xf>
    <xf numFmtId="3" fontId="3" fillId="0" borderId="38" xfId="0" applyNumberFormat="1" applyFont="1" applyBorder="1" applyAlignment="1">
      <alignment horizontal="center" vertical="center"/>
    </xf>
    <xf numFmtId="171" fontId="3" fillId="0" borderId="4" xfId="0" applyNumberFormat="1" applyFont="1" applyBorder="1" applyAlignment="1">
      <alignment horizontal="center" vertical="center"/>
    </xf>
    <xf numFmtId="171" fontId="3" fillId="0" borderId="7" xfId="0" applyNumberFormat="1" applyFont="1" applyBorder="1" applyAlignment="1">
      <alignment horizontal="center" vertical="center"/>
    </xf>
    <xf numFmtId="171" fontId="3" fillId="0" borderId="35" xfId="0" applyNumberFormat="1" applyFont="1" applyBorder="1" applyAlignment="1">
      <alignment horizontal="center" vertical="center"/>
    </xf>
    <xf numFmtId="0" fontId="24" fillId="12" borderId="35" xfId="0" applyFont="1" applyFill="1" applyBorder="1" applyAlignment="1">
      <alignment horizontal="center" vertical="center" wrapText="1"/>
    </xf>
    <xf numFmtId="2" fontId="3" fillId="0" borderId="35" xfId="0" applyNumberFormat="1" applyFont="1" applyBorder="1" applyAlignment="1">
      <alignment horizontal="center" vertical="center"/>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2" fontId="3" fillId="0" borderId="0" xfId="0" applyNumberFormat="1" applyFont="1" applyBorder="1" applyAlignment="1">
      <alignment horizontal="center" vertical="center"/>
    </xf>
    <xf numFmtId="3" fontId="0" fillId="10" borderId="4" xfId="0" applyNumberFormat="1" applyFont="1" applyFill="1" applyBorder="1" applyAlignment="1">
      <alignment horizontal="center" vertical="center"/>
    </xf>
    <xf numFmtId="0" fontId="3" fillId="0" borderId="4" xfId="0" applyFont="1" applyBorder="1" applyAlignment="1">
      <alignment wrapText="1"/>
    </xf>
    <xf numFmtId="0" fontId="27" fillId="0" borderId="68" xfId="0" applyFont="1" applyBorder="1" applyAlignment="1">
      <alignment horizontal="justify" vertical="center" wrapText="1"/>
    </xf>
    <xf numFmtId="0" fontId="27" fillId="0" borderId="69" xfId="0" applyFont="1" applyBorder="1" applyAlignment="1">
      <alignment horizontal="justify" vertical="center" wrapText="1"/>
    </xf>
    <xf numFmtId="0" fontId="27" fillId="0" borderId="70" xfId="0" applyFont="1" applyBorder="1" applyAlignment="1">
      <alignment horizontal="justify" vertical="center" wrapText="1"/>
    </xf>
    <xf numFmtId="0" fontId="27" fillId="0" borderId="58" xfId="0" applyFont="1" applyBorder="1" applyAlignment="1">
      <alignment horizontal="justify" vertical="center" wrapText="1"/>
    </xf>
    <xf numFmtId="0" fontId="27" fillId="0" borderId="59" xfId="0" applyFont="1" applyBorder="1" applyAlignment="1">
      <alignment horizontal="justify" vertical="center" wrapText="1"/>
    </xf>
    <xf numFmtId="0" fontId="27" fillId="0" borderId="60" xfId="0" applyFont="1" applyBorder="1" applyAlignment="1">
      <alignment horizontal="justify" vertical="center" wrapText="1"/>
    </xf>
    <xf numFmtId="0" fontId="27" fillId="0" borderId="63" xfId="0" applyFont="1" applyBorder="1" applyAlignment="1">
      <alignment horizontal="justify" vertical="center" wrapText="1"/>
    </xf>
    <xf numFmtId="0" fontId="27" fillId="0" borderId="64" xfId="0" applyFont="1" applyBorder="1" applyAlignment="1">
      <alignment horizontal="justify" vertical="center" wrapText="1"/>
    </xf>
    <xf numFmtId="0" fontId="28" fillId="0" borderId="66" xfId="0" applyFont="1" applyBorder="1" applyAlignment="1">
      <alignment horizontal="justify" vertical="center" wrapText="1"/>
    </xf>
    <xf numFmtId="0" fontId="28" fillId="0" borderId="65" xfId="0" applyFont="1" applyBorder="1" applyAlignment="1">
      <alignment horizontal="justify" vertical="center" wrapText="1"/>
    </xf>
    <xf numFmtId="0" fontId="28" fillId="0" borderId="0" xfId="0" applyFont="1" applyAlignment="1">
      <alignment horizontal="justify" vertical="center" wrapText="1"/>
    </xf>
    <xf numFmtId="0" fontId="28" fillId="0" borderId="67" xfId="0" applyFont="1" applyBorder="1" applyAlignment="1">
      <alignment horizontal="justify" vertical="center" wrapText="1"/>
    </xf>
    <xf numFmtId="0" fontId="28" fillId="0" borderId="67" xfId="0" applyFont="1" applyBorder="1" applyAlignment="1">
      <alignment horizontal="center" vertical="center" wrapText="1"/>
    </xf>
    <xf numFmtId="0" fontId="27" fillId="0" borderId="0" xfId="0" applyFont="1" applyBorder="1" applyAlignment="1">
      <alignment horizontal="justify" vertical="center" wrapText="1"/>
    </xf>
    <xf numFmtId="0" fontId="27" fillId="0" borderId="67" xfId="0" applyFont="1" applyBorder="1" applyAlignment="1">
      <alignment horizontal="justify" vertical="center" wrapText="1"/>
    </xf>
    <xf numFmtId="0" fontId="3" fillId="6" borderId="3" xfId="0" applyFont="1" applyFill="1" applyBorder="1" applyAlignment="1" applyProtection="1">
      <alignment horizontal="center" vertical="center" wrapText="1"/>
    </xf>
    <xf numFmtId="0" fontId="3" fillId="6" borderId="0" xfId="0" applyFont="1" applyFill="1" applyBorder="1" applyAlignment="1" applyProtection="1">
      <alignment horizontal="center" vertical="center" wrapText="1"/>
    </xf>
    <xf numFmtId="0" fontId="3" fillId="6" borderId="1" xfId="0" applyFont="1" applyFill="1" applyBorder="1" applyAlignment="1" applyProtection="1">
      <alignment horizontal="center" vertical="center" wrapText="1"/>
    </xf>
    <xf numFmtId="10" fontId="3" fillId="6" borderId="2" xfId="1" applyNumberFormat="1" applyFont="1" applyFill="1" applyBorder="1" applyAlignment="1" applyProtection="1">
      <alignment horizontal="center" vertical="center"/>
    </xf>
    <xf numFmtId="0" fontId="2" fillId="0" borderId="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0" fontId="3" fillId="0" borderId="4" xfId="0" applyFont="1" applyBorder="1" applyAlignment="1">
      <alignment horizontal="center" wrapText="1"/>
    </xf>
    <xf numFmtId="0" fontId="3" fillId="0" borderId="4" xfId="0" applyFont="1" applyBorder="1" applyAlignment="1">
      <alignment horizontal="center" vertic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6" xfId="0" applyFont="1" applyBorder="1" applyAlignment="1">
      <alignment horizontal="center" wrapText="1"/>
    </xf>
    <xf numFmtId="0" fontId="2" fillId="0"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9" borderId="34" xfId="0" applyFont="1" applyFill="1" applyBorder="1" applyAlignment="1">
      <alignment horizontal="center" vertical="center"/>
    </xf>
    <xf numFmtId="0" fontId="2" fillId="10"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2" fillId="9" borderId="40" xfId="0" applyFont="1" applyFill="1" applyBorder="1" applyAlignment="1">
      <alignment horizontal="center" vertical="center"/>
    </xf>
    <xf numFmtId="0" fontId="2" fillId="9" borderId="41" xfId="0" applyFont="1" applyFill="1" applyBorder="1" applyAlignment="1">
      <alignment horizontal="center" vertical="center"/>
    </xf>
    <xf numFmtId="0" fontId="2" fillId="9" borderId="42" xfId="0" applyFont="1" applyFill="1" applyBorder="1" applyAlignment="1">
      <alignment horizontal="center" vertical="center"/>
    </xf>
    <xf numFmtId="10" fontId="2" fillId="0" borderId="7" xfId="1" applyNumberFormat="1" applyFont="1" applyBorder="1" applyAlignment="1">
      <alignment horizontal="center" vertical="center" wrapText="1"/>
    </xf>
    <xf numFmtId="10" fontId="2" fillId="0" borderId="8" xfId="1" applyNumberFormat="1" applyFont="1" applyBorder="1" applyAlignment="1">
      <alignment horizontal="center" vertical="center" wrapText="1"/>
    </xf>
    <xf numFmtId="10" fontId="2" fillId="0" borderId="6" xfId="1" applyNumberFormat="1" applyFont="1" applyBorder="1" applyAlignment="1">
      <alignment horizontal="center" vertical="center" wrapText="1"/>
    </xf>
    <xf numFmtId="10" fontId="3" fillId="0" borderId="7" xfId="1" applyNumberFormat="1" applyFont="1" applyBorder="1" applyAlignment="1">
      <alignment horizontal="center" vertical="center" wrapText="1"/>
    </xf>
    <xf numFmtId="10" fontId="3" fillId="0" borderId="8" xfId="1" applyNumberFormat="1" applyFont="1" applyBorder="1" applyAlignment="1">
      <alignment horizontal="center" vertical="center" wrapText="1"/>
    </xf>
    <xf numFmtId="10" fontId="3" fillId="0" borderId="6" xfId="1" applyNumberFormat="1"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2" fillId="9" borderId="44" xfId="0" applyFont="1" applyFill="1" applyBorder="1" applyAlignment="1">
      <alignment horizontal="center" vertical="center"/>
    </xf>
    <xf numFmtId="0" fontId="2" fillId="9" borderId="45" xfId="0" applyFont="1" applyFill="1" applyBorder="1" applyAlignment="1">
      <alignment horizontal="center" vertical="center"/>
    </xf>
    <xf numFmtId="0" fontId="2" fillId="9" borderId="48" xfId="0" applyFont="1" applyFill="1" applyBorder="1" applyAlignment="1">
      <alignment horizontal="center" vertical="center"/>
    </xf>
    <xf numFmtId="0" fontId="2" fillId="9" borderId="50" xfId="0" applyFont="1" applyFill="1" applyBorder="1" applyAlignment="1">
      <alignment horizontal="center" vertical="center"/>
    </xf>
    <xf numFmtId="0" fontId="2" fillId="9" borderId="51" xfId="0" applyFont="1" applyFill="1" applyBorder="1" applyAlignment="1">
      <alignment horizontal="center" vertical="center"/>
    </xf>
    <xf numFmtId="0" fontId="2" fillId="0" borderId="38" xfId="0" applyFont="1" applyBorder="1" applyAlignment="1">
      <alignment horizontal="center" vertical="center"/>
    </xf>
    <xf numFmtId="0" fontId="3" fillId="0" borderId="38" xfId="0" applyFont="1" applyBorder="1" applyAlignment="1">
      <alignment horizontal="center" vertical="center" wrapText="1"/>
    </xf>
    <xf numFmtId="0" fontId="3" fillId="0" borderId="4" xfId="0" applyFont="1" applyBorder="1" applyAlignment="1">
      <alignment horizontal="center" vertical="center"/>
    </xf>
    <xf numFmtId="0" fontId="3" fillId="0" borderId="35" xfId="0" applyFont="1" applyBorder="1" applyAlignment="1">
      <alignment horizontal="center" vertical="center"/>
    </xf>
    <xf numFmtId="0" fontId="3" fillId="0" borderId="38" xfId="0" applyFont="1" applyBorder="1" applyAlignment="1">
      <alignment horizontal="center" vertical="center"/>
    </xf>
    <xf numFmtId="0" fontId="3" fillId="0" borderId="32" xfId="0" applyFont="1" applyBorder="1" applyAlignment="1">
      <alignment horizontal="center" vertical="center" wrapText="1"/>
    </xf>
    <xf numFmtId="0" fontId="3" fillId="0" borderId="7" xfId="0" applyFont="1" applyBorder="1" applyAlignment="1">
      <alignment horizontal="center" vertical="center"/>
    </xf>
    <xf numFmtId="0" fontId="2" fillId="9" borderId="17" xfId="0" applyFont="1" applyFill="1" applyBorder="1" applyAlignment="1">
      <alignment horizontal="center" vertical="center"/>
    </xf>
    <xf numFmtId="0" fontId="3" fillId="0" borderId="28" xfId="0" applyFont="1" applyBorder="1" applyAlignment="1">
      <alignment horizontal="center" vertical="center"/>
    </xf>
    <xf numFmtId="0" fontId="3" fillId="0" borderId="26" xfId="0" applyFont="1" applyBorder="1" applyAlignment="1">
      <alignment horizontal="center" vertical="center"/>
    </xf>
    <xf numFmtId="0" fontId="2" fillId="9" borderId="29" xfId="0" applyFont="1" applyFill="1" applyBorder="1" applyAlignment="1">
      <alignment horizontal="center" vertical="center"/>
    </xf>
    <xf numFmtId="0" fontId="2" fillId="9" borderId="30" xfId="0" applyFont="1" applyFill="1" applyBorder="1" applyAlignment="1">
      <alignment horizontal="center" vertical="center"/>
    </xf>
    <xf numFmtId="0" fontId="3" fillId="0" borderId="31" xfId="0" applyFont="1" applyBorder="1" applyAlignment="1">
      <alignment horizontal="center" vertical="center"/>
    </xf>
    <xf numFmtId="0" fontId="2" fillId="9" borderId="19" xfId="0" applyFont="1" applyFill="1" applyBorder="1" applyAlignment="1">
      <alignment horizontal="center" vertical="center"/>
    </xf>
    <xf numFmtId="0" fontId="2" fillId="9" borderId="25"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32" xfId="0" applyFont="1" applyBorder="1" applyAlignment="1">
      <alignment horizontal="center" vertical="center"/>
    </xf>
    <xf numFmtId="0" fontId="2" fillId="9" borderId="4" xfId="0" applyFont="1" applyFill="1" applyBorder="1" applyAlignment="1">
      <alignment horizontal="left" vertical="center"/>
    </xf>
    <xf numFmtId="0" fontId="2" fillId="10" borderId="7"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3" fillId="0" borderId="4" xfId="0" applyFont="1" applyFill="1" applyBorder="1" applyAlignment="1">
      <alignment horizontal="center" vertical="center" wrapText="1"/>
    </xf>
    <xf numFmtId="1" fontId="3" fillId="0" borderId="7" xfId="0" applyNumberFormat="1" applyFont="1" applyBorder="1" applyAlignment="1">
      <alignment horizontal="center" vertical="center" wrapText="1"/>
    </xf>
    <xf numFmtId="1" fontId="3" fillId="0" borderId="8"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7" xfId="0" applyNumberFormat="1" applyFont="1" applyBorder="1" applyAlignment="1">
      <alignment horizontal="center" vertical="center"/>
    </xf>
    <xf numFmtId="1" fontId="3" fillId="0" borderId="8" xfId="0" applyNumberFormat="1" applyFont="1" applyBorder="1" applyAlignment="1">
      <alignment horizontal="center" vertical="center"/>
    </xf>
    <xf numFmtId="1" fontId="3" fillId="0" borderId="6" xfId="0" applyNumberFormat="1" applyFont="1" applyBorder="1" applyAlignment="1">
      <alignment horizontal="center" vertical="center"/>
    </xf>
    <xf numFmtId="0" fontId="2" fillId="9" borderId="7" xfId="0" applyFont="1" applyFill="1" applyBorder="1" applyAlignment="1">
      <alignment horizontal="left" vertical="center" wrapText="1"/>
    </xf>
    <xf numFmtId="0" fontId="2" fillId="9" borderId="8" xfId="0" applyFont="1" applyFill="1" applyBorder="1" applyAlignment="1">
      <alignment horizontal="left" vertical="center"/>
    </xf>
    <xf numFmtId="0" fontId="2" fillId="9" borderId="6" xfId="0" applyFont="1" applyFill="1" applyBorder="1" applyAlignment="1">
      <alignment horizontal="left" vertical="center"/>
    </xf>
    <xf numFmtId="0" fontId="2" fillId="9" borderId="7" xfId="0" applyFont="1" applyFill="1" applyBorder="1" applyAlignment="1">
      <alignment horizontal="left" vertical="top" wrapText="1"/>
    </xf>
    <xf numFmtId="0" fontId="2" fillId="9" borderId="8" xfId="0" applyFont="1" applyFill="1" applyBorder="1" applyAlignment="1">
      <alignment horizontal="left" vertical="top"/>
    </xf>
    <xf numFmtId="0" fontId="2" fillId="9" borderId="7" xfId="0" applyFont="1" applyFill="1" applyBorder="1" applyAlignment="1">
      <alignment vertical="top" wrapText="1"/>
    </xf>
    <xf numFmtId="0" fontId="2" fillId="9" borderId="8" xfId="0" applyFont="1" applyFill="1" applyBorder="1" applyAlignment="1">
      <alignment vertical="top" wrapText="1"/>
    </xf>
    <xf numFmtId="0" fontId="2" fillId="10" borderId="8" xfId="0" applyFont="1" applyFill="1" applyBorder="1" applyAlignment="1">
      <alignment horizontal="center" vertical="center" wrapText="1"/>
    </xf>
    <xf numFmtId="0" fontId="3" fillId="13" borderId="3" xfId="0" applyFont="1" applyFill="1" applyBorder="1" applyAlignment="1" applyProtection="1">
      <alignment horizontal="center" vertical="center"/>
    </xf>
    <xf numFmtId="0" fontId="3" fillId="13" borderId="0" xfId="0" applyFont="1" applyFill="1" applyBorder="1" applyAlignment="1" applyProtection="1">
      <alignment horizontal="center" vertical="center"/>
    </xf>
    <xf numFmtId="0" fontId="3" fillId="13" borderId="1" xfId="0" applyFont="1" applyFill="1" applyBorder="1" applyAlignment="1" applyProtection="1">
      <alignment horizontal="center" vertical="center"/>
    </xf>
    <xf numFmtId="10" fontId="3" fillId="13" borderId="3" xfId="1" applyNumberFormat="1" applyFont="1" applyFill="1" applyBorder="1" applyAlignment="1" applyProtection="1">
      <alignment horizontal="center" vertical="center"/>
    </xf>
    <xf numFmtId="10" fontId="3" fillId="13" borderId="0" xfId="1" applyNumberFormat="1" applyFont="1" applyFill="1" applyBorder="1" applyAlignment="1" applyProtection="1">
      <alignment horizontal="center" vertical="center"/>
    </xf>
    <xf numFmtId="10" fontId="3" fillId="13" borderId="1" xfId="1" applyNumberFormat="1" applyFont="1" applyFill="1" applyBorder="1" applyAlignment="1" applyProtection="1">
      <alignment horizontal="center" vertical="center"/>
    </xf>
    <xf numFmtId="0" fontId="3" fillId="5" borderId="3" xfId="0" applyFont="1" applyFill="1" applyBorder="1" applyAlignment="1">
      <alignment horizontal="center" vertical="center"/>
    </xf>
    <xf numFmtId="0" fontId="3" fillId="5" borderId="0" xfId="0" applyFont="1" applyFill="1" applyBorder="1" applyAlignment="1">
      <alignment horizontal="center" vertical="center"/>
    </xf>
    <xf numFmtId="0" fontId="3" fillId="5" borderId="1" xfId="0" applyFont="1" applyFill="1" applyBorder="1" applyAlignment="1">
      <alignment horizontal="center" vertical="center"/>
    </xf>
    <xf numFmtId="10" fontId="3" fillId="5" borderId="3" xfId="1" applyNumberFormat="1" applyFont="1" applyFill="1" applyBorder="1" applyAlignment="1">
      <alignment horizontal="center" vertical="center"/>
    </xf>
    <xf numFmtId="10" fontId="3" fillId="5" borderId="0" xfId="1" applyNumberFormat="1" applyFont="1" applyFill="1" applyBorder="1" applyAlignment="1">
      <alignment horizontal="center" vertical="center"/>
    </xf>
    <xf numFmtId="10" fontId="3" fillId="5" borderId="1" xfId="1" applyNumberFormat="1" applyFont="1" applyFill="1" applyBorder="1" applyAlignment="1">
      <alignment horizontal="center" vertical="center"/>
    </xf>
    <xf numFmtId="0" fontId="20" fillId="13" borderId="3" xfId="0" applyFont="1" applyFill="1" applyBorder="1" applyAlignment="1" applyProtection="1">
      <alignment horizontal="center" vertical="center"/>
    </xf>
    <xf numFmtId="0" fontId="20" fillId="13" borderId="0" xfId="0" applyFont="1" applyFill="1" applyBorder="1" applyAlignment="1" applyProtection="1">
      <alignment horizontal="center" vertical="center"/>
    </xf>
    <xf numFmtId="0" fontId="20" fillId="13" borderId="1" xfId="0" applyFont="1" applyFill="1" applyBorder="1" applyAlignment="1" applyProtection="1">
      <alignment horizontal="center" vertical="center"/>
    </xf>
    <xf numFmtId="10" fontId="20" fillId="13" borderId="3" xfId="1" applyNumberFormat="1" applyFont="1" applyFill="1" applyBorder="1" applyAlignment="1" applyProtection="1">
      <alignment horizontal="center" vertical="center"/>
    </xf>
    <xf numFmtId="10" fontId="20" fillId="13" borderId="0" xfId="1" applyNumberFormat="1" applyFont="1" applyFill="1" applyBorder="1" applyAlignment="1" applyProtection="1">
      <alignment horizontal="center" vertical="center"/>
    </xf>
    <xf numFmtId="10" fontId="20" fillId="13" borderId="1" xfId="1" applyNumberFormat="1" applyFont="1" applyFill="1" applyBorder="1" applyAlignment="1" applyProtection="1">
      <alignment horizontal="center" vertical="center"/>
    </xf>
    <xf numFmtId="0" fontId="6" fillId="10" borderId="4" xfId="0" applyFont="1" applyFill="1" applyBorder="1" applyAlignment="1">
      <alignment horizontal="center" vertical="center" wrapText="1"/>
    </xf>
    <xf numFmtId="0" fontId="0" fillId="10" borderId="4" xfId="0" applyFill="1" applyBorder="1" applyAlignment="1">
      <alignment horizontal="center" vertical="center" wrapText="1"/>
    </xf>
    <xf numFmtId="0" fontId="2" fillId="9" borderId="40" xfId="0" applyFont="1" applyFill="1" applyBorder="1" applyAlignment="1">
      <alignment horizontal="left" vertical="center"/>
    </xf>
    <xf numFmtId="0" fontId="2" fillId="9" borderId="41" xfId="0" applyFont="1" applyFill="1" applyBorder="1" applyAlignment="1">
      <alignment horizontal="left" vertical="center"/>
    </xf>
    <xf numFmtId="0" fontId="2" fillId="9" borderId="42" xfId="0" applyFont="1" applyFill="1" applyBorder="1" applyAlignment="1">
      <alignment horizontal="left" vertical="center"/>
    </xf>
    <xf numFmtId="0" fontId="2" fillId="9" borderId="44" xfId="0" applyFont="1" applyFill="1" applyBorder="1" applyAlignment="1">
      <alignment horizontal="left" vertical="center"/>
    </xf>
    <xf numFmtId="0" fontId="2" fillId="9" borderId="45" xfId="0" applyFont="1" applyFill="1" applyBorder="1" applyAlignment="1">
      <alignment horizontal="left" vertical="center"/>
    </xf>
    <xf numFmtId="0" fontId="2" fillId="9" borderId="48" xfId="0" applyFont="1" applyFill="1" applyBorder="1" applyAlignment="1">
      <alignment horizontal="left" vertical="center"/>
    </xf>
    <xf numFmtId="0" fontId="2" fillId="9" borderId="50" xfId="0" applyFont="1" applyFill="1" applyBorder="1" applyAlignment="1">
      <alignment horizontal="left" vertical="center"/>
    </xf>
    <xf numFmtId="0" fontId="2" fillId="9" borderId="51" xfId="0" applyFont="1" applyFill="1" applyBorder="1" applyAlignment="1">
      <alignment horizontal="left" vertical="center"/>
    </xf>
    <xf numFmtId="0" fontId="2" fillId="0" borderId="6" xfId="0" applyFont="1" applyBorder="1" applyAlignment="1">
      <alignment horizontal="center" vertical="center"/>
    </xf>
    <xf numFmtId="0" fontId="3" fillId="0" borderId="72" xfId="0" applyFont="1" applyBorder="1" applyAlignment="1">
      <alignment horizontal="center" vertical="center" wrapText="1"/>
    </xf>
    <xf numFmtId="0" fontId="2" fillId="0" borderId="72" xfId="0" applyFont="1" applyBorder="1" applyAlignment="1">
      <alignment horizontal="center" vertical="center"/>
    </xf>
    <xf numFmtId="0" fontId="3" fillId="10" borderId="7"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10" borderId="6" xfId="0" applyFont="1" applyFill="1" applyBorder="1" applyAlignment="1">
      <alignment horizontal="center" vertical="center" wrapText="1"/>
    </xf>
    <xf numFmtId="1" fontId="35" fillId="0" borderId="7" xfId="0" applyNumberFormat="1" applyFont="1" applyBorder="1" applyAlignment="1">
      <alignment horizontal="center" vertical="center" wrapText="1"/>
    </xf>
    <xf numFmtId="1" fontId="35" fillId="0" borderId="8" xfId="0" applyNumberFormat="1" applyFont="1" applyBorder="1" applyAlignment="1">
      <alignment horizontal="center" vertical="center" wrapText="1"/>
    </xf>
    <xf numFmtId="1" fontId="35" fillId="0" borderId="6" xfId="0" applyNumberFormat="1" applyFont="1" applyBorder="1" applyAlignment="1">
      <alignment horizontal="center" vertical="center" wrapText="1"/>
    </xf>
    <xf numFmtId="1" fontId="35" fillId="0" borderId="7" xfId="0" applyNumberFormat="1" applyFont="1" applyBorder="1" applyAlignment="1">
      <alignment horizontal="center" vertical="center"/>
    </xf>
    <xf numFmtId="1" fontId="35" fillId="0" borderId="8" xfId="0" applyNumberFormat="1" applyFont="1" applyBorder="1" applyAlignment="1">
      <alignment horizontal="center" vertical="center"/>
    </xf>
    <xf numFmtId="1" fontId="35" fillId="0" borderId="6" xfId="0" applyNumberFormat="1" applyFont="1" applyBorder="1" applyAlignment="1">
      <alignment horizontal="center" vertical="center"/>
    </xf>
    <xf numFmtId="0" fontId="2" fillId="9" borderId="74" xfId="0" applyFont="1" applyFill="1" applyBorder="1" applyAlignment="1">
      <alignment horizontal="left" vertical="center"/>
    </xf>
    <xf numFmtId="0" fontId="2" fillId="9" borderId="75" xfId="0" applyFont="1" applyFill="1" applyBorder="1" applyAlignment="1">
      <alignment horizontal="left" vertical="center"/>
    </xf>
    <xf numFmtId="0" fontId="2" fillId="9" borderId="76" xfId="0" applyFont="1" applyFill="1" applyBorder="1" applyAlignment="1">
      <alignment horizontal="left" vertical="center"/>
    </xf>
    <xf numFmtId="0" fontId="2" fillId="9" borderId="77" xfId="0" applyFont="1" applyFill="1" applyBorder="1" applyAlignment="1">
      <alignment horizontal="left" vertical="center"/>
    </xf>
    <xf numFmtId="0" fontId="2" fillId="9" borderId="78" xfId="0" applyFont="1" applyFill="1" applyBorder="1" applyAlignment="1">
      <alignment horizontal="left" vertical="center"/>
    </xf>
    <xf numFmtId="0" fontId="2" fillId="9" borderId="79" xfId="0" applyFont="1" applyFill="1" applyBorder="1" applyAlignment="1">
      <alignment horizontal="left" vertical="center"/>
    </xf>
    <xf numFmtId="0" fontId="2" fillId="9" borderId="80" xfId="0" applyFont="1" applyFill="1" applyBorder="1" applyAlignment="1">
      <alignment horizontal="left" vertical="center"/>
    </xf>
    <xf numFmtId="0" fontId="2" fillId="9" borderId="81" xfId="0" applyFont="1" applyFill="1" applyBorder="1" applyAlignment="1">
      <alignment horizontal="left" vertical="center"/>
    </xf>
    <xf numFmtId="0" fontId="2" fillId="0" borderId="54" xfId="0" applyFont="1" applyBorder="1" applyAlignment="1">
      <alignment horizontal="center" vertical="center"/>
    </xf>
    <xf numFmtId="0" fontId="3" fillId="0" borderId="54" xfId="0" applyFont="1" applyBorder="1" applyAlignment="1">
      <alignment horizontal="center" vertical="center" wrapText="1"/>
    </xf>
    <xf numFmtId="0" fontId="0" fillId="15" borderId="0" xfId="0" applyFill="1"/>
    <xf numFmtId="0" fontId="26" fillId="0" borderId="0" xfId="0" applyFont="1" applyAlignment="1">
      <alignment horizontal="left" vertical="center"/>
    </xf>
  </cellXfs>
  <cellStyles count="4">
    <cellStyle name="Hipervínculo" xfId="2" builtinId="8"/>
    <cellStyle name="Normal" xfId="0" builtinId="0"/>
    <cellStyle name="Normal 2" xfId="3" xr:uid="{C1262127-420A-4656-B60E-6B899128EFE9}"/>
    <cellStyle name="Porcentaje" xfId="1" builtinId="5"/>
  </cellStyles>
  <dxfs count="0"/>
  <tableStyles count="0" defaultTableStyle="TableStyleMedium2" defaultPivotStyle="PivotStyleLight16"/>
  <colors>
    <mruColors>
      <color rgb="FF006666"/>
      <color rgb="FF44B3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441960</xdr:colOff>
      <xdr:row>0</xdr:row>
      <xdr:rowOff>0</xdr:rowOff>
    </xdr:from>
    <xdr:to>
      <xdr:col>5</xdr:col>
      <xdr:colOff>174171</xdr:colOff>
      <xdr:row>7</xdr:row>
      <xdr:rowOff>105843</xdr:rowOff>
    </xdr:to>
    <xdr:pic>
      <xdr:nvPicPr>
        <xdr:cNvPr id="2" name="Imagen 4" descr="Logo&#10;&#10;Description automatically generated">
          <a:extLst>
            <a:ext uri="{FF2B5EF4-FFF2-40B4-BE49-F238E27FC236}">
              <a16:creationId xmlns:a16="http://schemas.microsoft.com/office/drawing/2014/main" id="{446D9124-E1C3-4A83-AC54-EE41BB6623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1274" y="0"/>
          <a:ext cx="2116183" cy="1444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83820</xdr:colOff>
      <xdr:row>19</xdr:row>
      <xdr:rowOff>121920</xdr:rowOff>
    </xdr:from>
    <xdr:to>
      <xdr:col>4</xdr:col>
      <xdr:colOff>15240</xdr:colOff>
      <xdr:row>22</xdr:row>
      <xdr:rowOff>7620</xdr:rowOff>
    </xdr:to>
    <xdr:pic>
      <xdr:nvPicPr>
        <xdr:cNvPr id="3" name="Imagen 3" descr="A picture containing background pattern&#10;&#10;Description automatically generated">
          <a:extLst>
            <a:ext uri="{FF2B5EF4-FFF2-40B4-BE49-F238E27FC236}">
              <a16:creationId xmlns:a16="http://schemas.microsoft.com/office/drawing/2014/main" id="{40344629-12A2-41C4-A49A-C849397D3F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1260" y="3649980"/>
          <a:ext cx="72390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VADO/PROYECTOS%20LABORATORIO/05.V.20%20ONEPlanET/4-Documentacion%20tecnica/4.5%20Desarrollo/WP2_Nexus%20common%20modelling%20framework/Task%202.5/7-%20Final%20Database/SOCIOECONOMY/SOCIOECONOMY_IUW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 Overview"/>
      <sheetName val="Economic_MP"/>
      <sheetName val="Population_MP"/>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iea.org/countries/south-africa" TargetMode="External"/><Relationship Id="rId7" Type="http://schemas.openxmlformats.org/officeDocument/2006/relationships/vmlDrawing" Target="../drawings/vmlDrawing1.vml"/><Relationship Id="rId2" Type="http://schemas.openxmlformats.org/officeDocument/2006/relationships/hyperlink" Target="https://au-afrec.org/data-statistics-energy-balances" TargetMode="External"/><Relationship Id="rId1" Type="http://schemas.openxmlformats.org/officeDocument/2006/relationships/hyperlink" Target="https://pure.rug.nl/ws/portalfiles/portal/657046195/1_s2.0_S0959652623011034_main.pdf" TargetMode="External"/><Relationship Id="rId6" Type="http://schemas.openxmlformats.org/officeDocument/2006/relationships/printerSettings" Target="../printerSettings/printerSettings2.bin"/><Relationship Id="rId5" Type="http://schemas.openxmlformats.org/officeDocument/2006/relationships/hyperlink" Target="https://www.csir.co.za/sites/default/files/Documents/Statistics%20of%20power%20in%20SA%202022-CSIR-%5BFINAL%5D.pdf" TargetMode="External"/><Relationship Id="rId4" Type="http://schemas.openxmlformats.org/officeDocument/2006/relationships/hyperlink" Target="https://www.wri.org/research/global-database-power-plan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apps.fao.org/aquastat/?lang=en"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ataverse.harvard.edu/dataverse/glw" TargetMode="External"/><Relationship Id="rId1" Type="http://schemas.openxmlformats.org/officeDocument/2006/relationships/hyperlink" Target="https://data.ceda.ac.uk/neodc/esacci/biomass/data/agb/maps/v5.01/geotiff/aggregated"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resbank.co.za/content/dam/sarb/publications/quarterly-bulletins/quarterly-bulletin-publications/2024/december-2024/01FullQuarterlyBulletin.pdf" TargetMode="External"/><Relationship Id="rId1" Type="http://schemas.openxmlformats.org/officeDocument/2006/relationships/hyperlink" Target="https://rshiny.ilo.org/dataexplorer45/?lang=en&amp;id=SDG_1041_NOC_RT_A"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figshare.com/articles/dataset/Projecting_1_km-grid_population_distributions_from_2020_to_2100_globally_under_shared_socioeconomic_pathways/19608594/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wrc.org.za/wp-content/uploads/mdocs/TT%20354-CONSERVATION.pdf" TargetMode="External"/><Relationship Id="rId2" Type="http://schemas.openxmlformats.org/officeDocument/2006/relationships/hyperlink" Target="https://data.apps.fao.org/aquastat/?lang=en" TargetMode="External"/><Relationship Id="rId1" Type="http://schemas.openxmlformats.org/officeDocument/2006/relationships/hyperlink" Target="https://doi.org/10.3390/w10081018"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dataverse.harvard.edu/dataverse/glw" TargetMode="External"/><Relationship Id="rId1" Type="http://schemas.openxmlformats.org/officeDocument/2006/relationships/hyperlink" Target="https://data.ceda.ac.uk/neodc/esacci/biomass/data/agb/maps/v5.01/geotiff/aggregate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ilostat.ilo.org/topics/sdg/"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figshare.com/articles/dataset/Projecting_1_km-grid_population_distributions_from_2020_to_2100_globally_under_shared_socioeconomic_pathways/19608594/2"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hyperlink" Target="https://www.wrc.org.za/wp-content/uploads/mdocs/TT%20354-CONSERVATION.pdf" TargetMode="External"/><Relationship Id="rId1" Type="http://schemas.openxmlformats.org/officeDocument/2006/relationships/hyperlink" Target="https://data.apps.fao.org/aquastat/?lang=en"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globalforestwatch.org/" TargetMode="External"/><Relationship Id="rId2" Type="http://schemas.openxmlformats.org/officeDocument/2006/relationships/hyperlink" Target="https://data.ceda.ac.uk/neodc/esacci/biomass/data/agb/maps/v5.01/geotiff/aggregated" TargetMode="External"/><Relationship Id="rId1" Type="http://schemas.openxmlformats.org/officeDocument/2006/relationships/hyperlink" Target="https://mapspam.info/data/" TargetMode="External"/><Relationship Id="rId4" Type="http://schemas.openxmlformats.org/officeDocument/2006/relationships/hyperlink" Target="https://dataverse.harvard.edu/dataverse/glw"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unstats.un.org/unsd/nationalaccount/sdpubs/MADT-2023.pdf" TargetMode="External"/><Relationship Id="rId2" Type="http://schemas.openxmlformats.org/officeDocument/2006/relationships/hyperlink" Target="https://www.imf.org/external/datamapper/NGDP_RPCH@WEO/OEMDC/ADVEC/WEOWORLD" TargetMode="External"/><Relationship Id="rId1" Type="http://schemas.openxmlformats.org/officeDocument/2006/relationships/hyperlink" Target="https://ilostat.ilo.org/topics/sdg/" TargetMode="Externa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hub.worldpop.org/geodata/listing?id=75" TargetMode="External"/><Relationship Id="rId1" Type="http://schemas.openxmlformats.org/officeDocument/2006/relationships/hyperlink" Target="https://figshare.com/articles/dataset/Projecting_1_km-grid_population_distributions_from_2020_to_2100_globally_under_shared_socioeconomic_pathways/19608594/2"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7248-E1E4-4C48-ABE2-EDEBB9C64A05}">
  <dimension ref="A3:D70"/>
  <sheetViews>
    <sheetView tabSelected="1" topLeftCell="A49" zoomScale="70" zoomScaleNormal="70" workbookViewId="0">
      <selection activeCell="J66" sqref="J66"/>
    </sheetView>
  </sheetViews>
  <sheetFormatPr baseColWidth="10" defaultRowHeight="14.4"/>
  <sheetData>
    <row r="3" spans="1:2" ht="15.6">
      <c r="B3" s="26"/>
    </row>
    <row r="4" spans="1:2" ht="15.6">
      <c r="B4" s="26"/>
    </row>
    <row r="5" spans="1:2" ht="15.6">
      <c r="B5" s="26"/>
    </row>
    <row r="6" spans="1:2" ht="15.6">
      <c r="B6" s="26"/>
    </row>
    <row r="8" spans="1:2" ht="15.6">
      <c r="B8" s="26"/>
    </row>
    <row r="9" spans="1:2" ht="15.6">
      <c r="B9" s="26"/>
    </row>
    <row r="10" spans="1:2" ht="17.399999999999999">
      <c r="A10" s="27"/>
      <c r="B10" s="126" t="s">
        <v>67</v>
      </c>
    </row>
    <row r="11" spans="1:2" ht="17.399999999999999">
      <c r="A11" s="27"/>
      <c r="B11" s="126" t="s">
        <v>68</v>
      </c>
    </row>
    <row r="12" spans="1:2">
      <c r="B12" s="28"/>
    </row>
    <row r="13" spans="1:2">
      <c r="B13" s="29"/>
    </row>
    <row r="14" spans="1:2" ht="21">
      <c r="B14" s="127" t="s">
        <v>361</v>
      </c>
    </row>
    <row r="15" spans="1:2">
      <c r="B15" s="30"/>
    </row>
    <row r="16" spans="1:2">
      <c r="B16" s="128" t="s">
        <v>69</v>
      </c>
    </row>
    <row r="17" spans="2:2">
      <c r="B17" s="128" t="s">
        <v>70</v>
      </c>
    </row>
    <row r="18" spans="2:2">
      <c r="B18" s="27"/>
    </row>
    <row r="19" spans="2:2">
      <c r="B19" s="27"/>
    </row>
    <row r="20" spans="2:2">
      <c r="B20" s="27"/>
    </row>
    <row r="21" spans="2:2">
      <c r="B21" s="27"/>
    </row>
    <row r="22" spans="2:2">
      <c r="B22" s="27"/>
    </row>
    <row r="23" spans="2:2">
      <c r="B23" s="31"/>
    </row>
    <row r="24" spans="2:2" ht="15.6">
      <c r="B24" s="32"/>
    </row>
    <row r="26" spans="2:2">
      <c r="B26" s="129" t="s">
        <v>71</v>
      </c>
    </row>
    <row r="27" spans="2:2" ht="15.6">
      <c r="B27" s="32"/>
    </row>
    <row r="35" spans="2:4" ht="15.6">
      <c r="B35" s="32"/>
    </row>
    <row r="36" spans="2:4">
      <c r="B36" s="143" t="s">
        <v>362</v>
      </c>
    </row>
    <row r="37" spans="2:4">
      <c r="B37" s="143" t="s">
        <v>543</v>
      </c>
    </row>
    <row r="38" spans="2:4">
      <c r="B38" s="462" t="s">
        <v>544</v>
      </c>
    </row>
    <row r="39" spans="2:4">
      <c r="B39" s="143"/>
    </row>
    <row r="40" spans="2:4">
      <c r="B40" s="143" t="s">
        <v>363</v>
      </c>
    </row>
    <row r="41" spans="2:4" ht="15" thickBot="1">
      <c r="B41" s="131"/>
    </row>
    <row r="42" spans="2:4" ht="15" thickBot="1">
      <c r="B42" s="322" t="s">
        <v>364</v>
      </c>
      <c r="C42" s="323"/>
      <c r="D42" s="324"/>
    </row>
    <row r="43" spans="2:4" ht="15" thickBot="1">
      <c r="B43" s="132" t="s">
        <v>365</v>
      </c>
      <c r="C43" s="133" t="s">
        <v>366</v>
      </c>
      <c r="D43" s="134" t="s">
        <v>367</v>
      </c>
    </row>
    <row r="44" spans="2:4" ht="15" thickBot="1">
      <c r="B44" s="135" t="s">
        <v>368</v>
      </c>
      <c r="C44" s="136" t="s">
        <v>369</v>
      </c>
      <c r="D44" s="137"/>
    </row>
    <row r="45" spans="2:4">
      <c r="B45" s="131"/>
    </row>
    <row r="46" spans="2:4" ht="42" thickBot="1">
      <c r="B46" s="131" t="s">
        <v>370</v>
      </c>
    </row>
    <row r="47" spans="2:4" ht="26.4" customHeight="1" thickTop="1">
      <c r="B47" s="325" t="s">
        <v>371</v>
      </c>
      <c r="C47" s="327" t="s">
        <v>372</v>
      </c>
      <c r="D47" s="328"/>
    </row>
    <row r="48" spans="2:4" ht="26.4" customHeight="1">
      <c r="B48" s="326"/>
      <c r="C48" s="329" t="s">
        <v>68</v>
      </c>
      <c r="D48" s="330"/>
    </row>
    <row r="49" spans="2:4" ht="26.4">
      <c r="B49" s="139" t="s">
        <v>373</v>
      </c>
      <c r="C49" s="138" t="s">
        <v>374</v>
      </c>
      <c r="D49" s="331"/>
    </row>
    <row r="50" spans="2:4" ht="39.6">
      <c r="B50" s="139" t="s">
        <v>375</v>
      </c>
      <c r="C50" s="138">
        <v>101084127</v>
      </c>
      <c r="D50" s="331"/>
    </row>
    <row r="51" spans="2:4" ht="26.4">
      <c r="B51" s="139" t="s">
        <v>376</v>
      </c>
      <c r="C51" s="140">
        <v>44866</v>
      </c>
      <c r="D51" s="331"/>
    </row>
    <row r="52" spans="2:4" ht="26.4">
      <c r="B52" s="139" t="s">
        <v>377</v>
      </c>
      <c r="C52" s="140">
        <v>45960</v>
      </c>
      <c r="D52" s="331"/>
    </row>
    <row r="53" spans="2:4">
      <c r="B53" s="139" t="s">
        <v>378</v>
      </c>
      <c r="C53" s="138" t="s">
        <v>379</v>
      </c>
      <c r="D53" s="331"/>
    </row>
    <row r="54" spans="2:4" ht="52.8" customHeight="1">
      <c r="B54" s="326" t="s">
        <v>380</v>
      </c>
      <c r="C54" s="332"/>
      <c r="D54" s="333"/>
    </row>
    <row r="55" spans="2:4" ht="15" thickBot="1">
      <c r="B55" s="319"/>
      <c r="C55" s="320"/>
      <c r="D55" s="321"/>
    </row>
    <row r="56" spans="2:4" ht="15" thickTop="1">
      <c r="B56" s="130"/>
    </row>
    <row r="57" spans="2:4">
      <c r="B57" s="141" t="s">
        <v>381</v>
      </c>
    </row>
    <row r="58" spans="2:4">
      <c r="B58" s="144" t="s">
        <v>382</v>
      </c>
    </row>
    <row r="59" spans="2:4">
      <c r="B59" s="142"/>
    </row>
    <row r="60" spans="2:4" ht="26.4">
      <c r="B60" s="141" t="s">
        <v>383</v>
      </c>
    </row>
    <row r="61" spans="2:4">
      <c r="B61" s="144" t="s">
        <v>384</v>
      </c>
    </row>
    <row r="62" spans="2:4">
      <c r="B62" s="144" t="s">
        <v>385</v>
      </c>
    </row>
    <row r="63" spans="2:4">
      <c r="B63" s="144" t="s">
        <v>386</v>
      </c>
    </row>
    <row r="68" spans="2:2">
      <c r="B68" s="461" t="s">
        <v>387</v>
      </c>
    </row>
    <row r="69" spans="2:2">
      <c r="B69" s="461"/>
    </row>
    <row r="70" spans="2:2">
      <c r="B70" s="461" t="s">
        <v>388</v>
      </c>
    </row>
  </sheetData>
  <mergeCells count="7">
    <mergeCell ref="B55:D55"/>
    <mergeCell ref="B42:D42"/>
    <mergeCell ref="B47:B48"/>
    <mergeCell ref="C47:D47"/>
    <mergeCell ref="C48:D48"/>
    <mergeCell ref="D49:D53"/>
    <mergeCell ref="B54:D5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92AE-F9E5-4E7E-9EA1-FDB06CFB8FDC}">
  <dimension ref="B4:L22"/>
  <sheetViews>
    <sheetView workbookViewId="0">
      <selection sqref="A1:XFD1048576"/>
    </sheetView>
  </sheetViews>
  <sheetFormatPr baseColWidth="10" defaultRowHeight="13.8"/>
  <cols>
    <col min="1" max="1" width="11.5546875" style="3"/>
    <col min="2" max="2" width="15.33203125" style="3" bestFit="1" customWidth="1"/>
    <col min="3" max="3" width="20.44140625" style="3" bestFit="1" customWidth="1"/>
    <col min="4" max="4" width="21.21875" style="3" bestFit="1" customWidth="1"/>
    <col min="5" max="5" width="18.6640625" style="3" bestFit="1" customWidth="1"/>
    <col min="6" max="6" width="16.77734375" style="3" bestFit="1" customWidth="1"/>
    <col min="7" max="7" width="19" style="3" bestFit="1" customWidth="1"/>
    <col min="8" max="8" width="22.33203125" style="3" bestFit="1" customWidth="1"/>
    <col min="9" max="9" width="16.88671875" style="3" bestFit="1" customWidth="1"/>
    <col min="10" max="10" width="18" style="3" bestFit="1" customWidth="1"/>
    <col min="11" max="11" width="19.33203125" style="3" bestFit="1" customWidth="1"/>
    <col min="12" max="12" width="15.6640625" style="3" bestFit="1" customWidth="1"/>
    <col min="13" max="16384" width="11.5546875" style="3"/>
  </cols>
  <sheetData>
    <row r="4" spans="2:12">
      <c r="B4" s="173" t="s">
        <v>0</v>
      </c>
      <c r="C4" s="174" t="s">
        <v>1</v>
      </c>
      <c r="D4" s="173"/>
      <c r="E4" s="236"/>
      <c r="F4" s="175"/>
      <c r="G4" s="175"/>
      <c r="H4" s="175"/>
      <c r="I4" s="175"/>
      <c r="J4" s="175"/>
      <c r="K4" s="175"/>
      <c r="L4" s="175"/>
    </row>
    <row r="5" spans="2:12">
      <c r="B5" s="237"/>
      <c r="C5" s="238"/>
      <c r="D5" s="237"/>
      <c r="E5" s="239"/>
      <c r="F5" s="175"/>
      <c r="G5" s="175"/>
      <c r="H5" s="175"/>
      <c r="I5" s="175"/>
      <c r="J5" s="175"/>
      <c r="K5" s="175"/>
      <c r="L5" s="175"/>
    </row>
    <row r="6" spans="2:12">
      <c r="B6" s="177"/>
      <c r="C6" s="178" t="s">
        <v>2</v>
      </c>
      <c r="D6" s="178" t="s">
        <v>3</v>
      </c>
      <c r="E6" s="178" t="s">
        <v>4</v>
      </c>
      <c r="F6" s="178" t="s">
        <v>5</v>
      </c>
      <c r="G6" s="175"/>
      <c r="H6" s="175"/>
      <c r="I6" s="175"/>
      <c r="J6" s="175"/>
      <c r="K6" s="175"/>
      <c r="L6" s="175"/>
    </row>
    <row r="7" spans="2:12">
      <c r="B7" s="179" t="s">
        <v>6</v>
      </c>
      <c r="C7" s="182">
        <v>36193.1</v>
      </c>
      <c r="D7" s="240">
        <f>C7/$C$8</f>
        <v>1</v>
      </c>
      <c r="E7" s="241">
        <v>2095361</v>
      </c>
      <c r="F7" s="240">
        <v>1</v>
      </c>
      <c r="G7" s="175"/>
      <c r="H7" s="175"/>
      <c r="I7" s="175"/>
      <c r="J7" s="175"/>
      <c r="K7" s="175"/>
      <c r="L7" s="175"/>
    </row>
    <row r="8" spans="2:12">
      <c r="B8" s="222" t="s">
        <v>7</v>
      </c>
      <c r="C8" s="224">
        <f>SUM(C7:C7)</f>
        <v>36193.1</v>
      </c>
      <c r="D8" s="225">
        <f>SUM(D7:D7)</f>
        <v>1</v>
      </c>
      <c r="E8" s="242">
        <f>SUM(E7:E7)</f>
        <v>2095361</v>
      </c>
      <c r="F8" s="225">
        <f>SUM(F7:F7)</f>
        <v>1</v>
      </c>
      <c r="G8" s="175"/>
      <c r="H8" s="175"/>
      <c r="I8" s="175"/>
      <c r="J8" s="175"/>
      <c r="K8" s="175"/>
      <c r="L8" s="175"/>
    </row>
    <row r="9" spans="2:12">
      <c r="B9" s="175"/>
      <c r="C9" s="175"/>
      <c r="D9" s="175"/>
      <c r="E9" s="175"/>
      <c r="F9" s="175"/>
      <c r="G9" s="175"/>
      <c r="H9" s="175"/>
      <c r="I9" s="175"/>
      <c r="J9" s="176"/>
      <c r="K9" s="175"/>
      <c r="L9" s="175"/>
    </row>
    <row r="10" spans="2:12">
      <c r="C10" s="191" t="s">
        <v>8</v>
      </c>
      <c r="D10" s="191" t="s">
        <v>9</v>
      </c>
      <c r="E10" s="191" t="s">
        <v>4</v>
      </c>
      <c r="F10" s="191" t="s">
        <v>10</v>
      </c>
      <c r="G10" s="191" t="s">
        <v>11</v>
      </c>
      <c r="H10" s="191" t="s">
        <v>12</v>
      </c>
      <c r="I10" s="191" t="s">
        <v>13</v>
      </c>
      <c r="J10" s="191" t="s">
        <v>14</v>
      </c>
    </row>
    <row r="11" spans="2:12">
      <c r="B11" s="334" t="s">
        <v>15</v>
      </c>
      <c r="C11" s="243" t="s">
        <v>16</v>
      </c>
      <c r="D11" s="244">
        <v>453.72233014150902</v>
      </c>
      <c r="E11" s="245">
        <v>200839.77967778855</v>
      </c>
      <c r="F11" s="246">
        <v>9.5849726933825985E-2</v>
      </c>
      <c r="G11" s="245">
        <v>130593.86300872496</v>
      </c>
      <c r="H11" s="246">
        <v>0.65023902743888395</v>
      </c>
      <c r="I11" s="244">
        <v>0.65810183614947804</v>
      </c>
      <c r="J11" s="337">
        <v>0.95898625253202197</v>
      </c>
    </row>
    <row r="12" spans="2:12">
      <c r="B12" s="335"/>
      <c r="C12" s="247" t="s">
        <v>17</v>
      </c>
      <c r="D12" s="248">
        <v>422.165153790506</v>
      </c>
      <c r="E12" s="249">
        <v>478755.34759949055</v>
      </c>
      <c r="F12" s="250">
        <v>0.22848346781270173</v>
      </c>
      <c r="G12" s="249">
        <v>478425.08297593641</v>
      </c>
      <c r="H12" s="250">
        <v>0.99931015992780003</v>
      </c>
      <c r="I12" s="248">
        <v>6.1247376962141598</v>
      </c>
      <c r="J12" s="337"/>
    </row>
    <row r="13" spans="2:12">
      <c r="B13" s="336"/>
      <c r="C13" s="251" t="s">
        <v>18</v>
      </c>
      <c r="D13" s="252">
        <v>865.86055142305304</v>
      </c>
      <c r="E13" s="253">
        <v>1415765.872722721</v>
      </c>
      <c r="F13" s="254">
        <v>0.67566680525347234</v>
      </c>
      <c r="G13" s="253">
        <v>1415681.0773806963</v>
      </c>
      <c r="H13" s="254">
        <v>0.99994010638082298</v>
      </c>
      <c r="I13" s="252">
        <v>17.654674015045199</v>
      </c>
      <c r="J13" s="337"/>
    </row>
    <row r="15" spans="2:12">
      <c r="B15" s="222" t="s">
        <v>7</v>
      </c>
      <c r="C15" s="222"/>
      <c r="D15" s="223">
        <v>1741.7480353550682</v>
      </c>
      <c r="E15" s="224">
        <v>2095361</v>
      </c>
      <c r="F15" s="225">
        <v>1</v>
      </c>
      <c r="G15" s="224">
        <f>SUM(G11:G13)</f>
        <v>2024700.0233653577</v>
      </c>
      <c r="H15" s="225"/>
      <c r="I15" s="223"/>
      <c r="J15" s="222"/>
    </row>
    <row r="16" spans="2:12">
      <c r="E16" s="255"/>
      <c r="G16" s="256"/>
    </row>
    <row r="17" spans="5:7">
      <c r="E17" s="255"/>
      <c r="G17" s="257"/>
    </row>
    <row r="18" spans="5:7">
      <c r="E18" s="255"/>
    </row>
    <row r="19" spans="5:7">
      <c r="E19" s="257"/>
    </row>
    <row r="21" spans="5:7">
      <c r="E21" s="257"/>
    </row>
    <row r="22" spans="5:7">
      <c r="E22" s="257"/>
    </row>
  </sheetData>
  <mergeCells count="2">
    <mergeCell ref="B11:B13"/>
    <mergeCell ref="J11:J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0465-D8FA-4BB0-A4DE-32881A8A8491}">
  <dimension ref="A2:N249"/>
  <sheetViews>
    <sheetView topLeftCell="A151" zoomScale="85" zoomScaleNormal="85" workbookViewId="0">
      <selection activeCell="A151" sqref="A1:XFD1048576"/>
    </sheetView>
  </sheetViews>
  <sheetFormatPr baseColWidth="10" defaultRowHeight="13.8"/>
  <cols>
    <col min="1" max="1" width="79.44140625" style="3" bestFit="1" customWidth="1"/>
    <col min="2" max="2" width="28.5546875" style="2" customWidth="1"/>
    <col min="3" max="3" width="53.33203125" style="3" bestFit="1" customWidth="1"/>
    <col min="4" max="4" width="11.5546875" style="3"/>
    <col min="5" max="5" width="14.44140625" style="3" bestFit="1" customWidth="1"/>
    <col min="6" max="13" width="11.77734375" style="3" bestFit="1" customWidth="1"/>
    <col min="14" max="16384" width="11.5546875" style="3"/>
  </cols>
  <sheetData>
    <row r="2" spans="1:5">
      <c r="A2" s="33" t="s">
        <v>72</v>
      </c>
    </row>
    <row r="4" spans="1:5" ht="14.4" thickBot="1">
      <c r="A4" s="1" t="s">
        <v>73</v>
      </c>
    </row>
    <row r="5" spans="1:5">
      <c r="B5" s="4" t="s">
        <v>20</v>
      </c>
      <c r="C5" s="4" t="s">
        <v>21</v>
      </c>
      <c r="D5" s="4" t="s">
        <v>22</v>
      </c>
      <c r="E5" s="4" t="s">
        <v>23</v>
      </c>
    </row>
    <row r="6" spans="1:5">
      <c r="A6" s="5" t="s">
        <v>74</v>
      </c>
      <c r="B6" s="343"/>
      <c r="C6" s="344"/>
      <c r="D6" s="7" t="s">
        <v>75</v>
      </c>
      <c r="E6" s="7">
        <v>1</v>
      </c>
    </row>
    <row r="7" spans="1:5">
      <c r="A7" s="5" t="s">
        <v>76</v>
      </c>
      <c r="B7" s="343"/>
      <c r="C7" s="344"/>
      <c r="D7" s="7" t="s">
        <v>75</v>
      </c>
      <c r="E7" s="7">
        <v>1</v>
      </c>
    </row>
    <row r="8" spans="1:5">
      <c r="A8" s="5" t="s">
        <v>77</v>
      </c>
      <c r="B8" s="343"/>
      <c r="C8" s="344"/>
      <c r="D8" s="7" t="s">
        <v>75</v>
      </c>
      <c r="E8" s="34">
        <v>6</v>
      </c>
    </row>
    <row r="9" spans="1:5">
      <c r="A9" s="5" t="s">
        <v>78</v>
      </c>
      <c r="B9" s="343"/>
      <c r="C9" s="344"/>
      <c r="D9" s="7" t="s">
        <v>75</v>
      </c>
      <c r="E9" s="7">
        <v>4</v>
      </c>
    </row>
    <row r="10" spans="1:5">
      <c r="A10" s="5" t="s">
        <v>79</v>
      </c>
      <c r="B10" s="343"/>
      <c r="C10" s="344"/>
      <c r="D10" s="7" t="s">
        <v>75</v>
      </c>
      <c r="E10" s="7">
        <v>4</v>
      </c>
    </row>
    <row r="11" spans="1:5">
      <c r="A11" s="5" t="s">
        <v>80</v>
      </c>
      <c r="B11" s="343"/>
      <c r="C11" s="344"/>
      <c r="D11" s="7" t="s">
        <v>75</v>
      </c>
      <c r="E11" s="7">
        <v>2</v>
      </c>
    </row>
    <row r="12" spans="1:5">
      <c r="A12" s="5" t="s">
        <v>81</v>
      </c>
      <c r="B12" s="343"/>
      <c r="C12" s="344"/>
      <c r="D12" s="7" t="s">
        <v>75</v>
      </c>
      <c r="E12" s="7">
        <v>3</v>
      </c>
    </row>
    <row r="15" spans="1:5" ht="14.4" thickBot="1">
      <c r="A15" s="1" t="s">
        <v>82</v>
      </c>
    </row>
    <row r="16" spans="1:5">
      <c r="B16" s="4" t="s">
        <v>20</v>
      </c>
      <c r="C16" s="4" t="s">
        <v>21</v>
      </c>
      <c r="D16" s="35" t="s">
        <v>22</v>
      </c>
      <c r="E16" s="36" t="s">
        <v>23</v>
      </c>
    </row>
    <row r="17" spans="1:5" ht="14.4" customHeight="1">
      <c r="A17" s="5" t="s">
        <v>74</v>
      </c>
      <c r="B17" s="343"/>
      <c r="C17" s="345" t="s">
        <v>83</v>
      </c>
      <c r="D17" s="7" t="s">
        <v>75</v>
      </c>
      <c r="E17" s="7">
        <v>1</v>
      </c>
    </row>
    <row r="18" spans="1:5">
      <c r="A18" s="5" t="s">
        <v>76</v>
      </c>
      <c r="B18" s="343"/>
      <c r="C18" s="345"/>
      <c r="D18" s="7" t="s">
        <v>75</v>
      </c>
      <c r="E18" s="7">
        <v>1</v>
      </c>
    </row>
    <row r="19" spans="1:5">
      <c r="A19" s="5" t="s">
        <v>77</v>
      </c>
      <c r="B19" s="343"/>
      <c r="C19" s="345"/>
      <c r="D19" s="7" t="s">
        <v>75</v>
      </c>
      <c r="E19" s="7">
        <v>6</v>
      </c>
    </row>
    <row r="20" spans="1:5">
      <c r="A20" s="5" t="s">
        <v>78</v>
      </c>
      <c r="B20" s="343"/>
      <c r="C20" s="345"/>
      <c r="D20" s="7" t="s">
        <v>75</v>
      </c>
      <c r="E20" s="7">
        <v>2</v>
      </c>
    </row>
    <row r="21" spans="1:5">
      <c r="A21" s="5" t="s">
        <v>79</v>
      </c>
      <c r="B21" s="343"/>
      <c r="C21" s="345"/>
      <c r="D21" s="7" t="s">
        <v>75</v>
      </c>
      <c r="E21" s="7">
        <v>2</v>
      </c>
    </row>
    <row r="22" spans="1:5">
      <c r="A22" s="5" t="s">
        <v>80</v>
      </c>
      <c r="B22" s="343"/>
      <c r="C22" s="345"/>
      <c r="D22" s="7" t="s">
        <v>75</v>
      </c>
      <c r="E22" s="7">
        <v>1</v>
      </c>
    </row>
    <row r="23" spans="1:5">
      <c r="A23" s="5" t="s">
        <v>81</v>
      </c>
      <c r="B23" s="343"/>
      <c r="C23" s="345"/>
      <c r="D23" s="7" t="s">
        <v>75</v>
      </c>
      <c r="E23" s="7">
        <v>1</v>
      </c>
    </row>
    <row r="26" spans="1:5" ht="14.4" thickBot="1">
      <c r="A26" s="1" t="s">
        <v>84</v>
      </c>
    </row>
    <row r="27" spans="1:5">
      <c r="B27" s="4" t="s">
        <v>20</v>
      </c>
      <c r="C27" s="4" t="s">
        <v>21</v>
      </c>
      <c r="D27" s="4" t="s">
        <v>22</v>
      </c>
      <c r="E27" s="4" t="s">
        <v>23</v>
      </c>
    </row>
    <row r="28" spans="1:5">
      <c r="A28" s="5" t="s">
        <v>74</v>
      </c>
      <c r="B28" s="343"/>
      <c r="C28" s="344"/>
      <c r="D28" s="7" t="s">
        <v>75</v>
      </c>
      <c r="E28" s="7">
        <v>25</v>
      </c>
    </row>
    <row r="29" spans="1:5">
      <c r="A29" s="5" t="s">
        <v>76</v>
      </c>
      <c r="B29" s="343"/>
      <c r="C29" s="344"/>
      <c r="D29" s="7" t="s">
        <v>75</v>
      </c>
      <c r="E29" s="7">
        <v>25</v>
      </c>
    </row>
    <row r="30" spans="1:5">
      <c r="A30" s="5" t="s">
        <v>77</v>
      </c>
      <c r="B30" s="343"/>
      <c r="C30" s="344"/>
      <c r="D30" s="7" t="s">
        <v>75</v>
      </c>
      <c r="E30" s="7">
        <v>50</v>
      </c>
    </row>
    <row r="31" spans="1:5">
      <c r="A31" s="5" t="s">
        <v>78</v>
      </c>
      <c r="B31" s="343"/>
      <c r="C31" s="344"/>
      <c r="D31" s="7" t="s">
        <v>75</v>
      </c>
      <c r="E31" s="7">
        <v>40</v>
      </c>
    </row>
    <row r="32" spans="1:5">
      <c r="A32" s="5" t="s">
        <v>79</v>
      </c>
      <c r="B32" s="343"/>
      <c r="C32" s="344"/>
      <c r="D32" s="7" t="s">
        <v>75</v>
      </c>
      <c r="E32" s="7">
        <v>40</v>
      </c>
    </row>
    <row r="33" spans="1:5">
      <c r="A33" s="5" t="s">
        <v>80</v>
      </c>
      <c r="B33" s="343"/>
      <c r="C33" s="344"/>
      <c r="D33" s="7" t="s">
        <v>75</v>
      </c>
      <c r="E33" s="7">
        <v>30</v>
      </c>
    </row>
    <row r="34" spans="1:5">
      <c r="A34" s="5" t="s">
        <v>81</v>
      </c>
      <c r="B34" s="343"/>
      <c r="C34" s="344"/>
      <c r="D34" s="7" t="s">
        <v>75</v>
      </c>
      <c r="E34" s="7">
        <v>30</v>
      </c>
    </row>
    <row r="37" spans="1:5" ht="14.4" thickBot="1">
      <c r="A37" s="1" t="s">
        <v>85</v>
      </c>
    </row>
    <row r="38" spans="1:5">
      <c r="B38" s="4" t="s">
        <v>20</v>
      </c>
      <c r="C38" s="4" t="s">
        <v>21</v>
      </c>
      <c r="D38" s="4" t="s">
        <v>22</v>
      </c>
      <c r="E38" s="4" t="s">
        <v>23</v>
      </c>
    </row>
    <row r="39" spans="1:5" ht="14.4" customHeight="1">
      <c r="A39" s="5" t="s">
        <v>74</v>
      </c>
      <c r="B39" s="343"/>
      <c r="C39" s="345" t="s">
        <v>86</v>
      </c>
      <c r="D39" s="7" t="s">
        <v>75</v>
      </c>
      <c r="E39" s="7">
        <v>0</v>
      </c>
    </row>
    <row r="40" spans="1:5">
      <c r="A40" s="5" t="s">
        <v>76</v>
      </c>
      <c r="B40" s="343"/>
      <c r="C40" s="345"/>
      <c r="D40" s="7" t="s">
        <v>75</v>
      </c>
      <c r="E40" s="7">
        <v>0</v>
      </c>
    </row>
    <row r="41" spans="1:5">
      <c r="A41" s="5" t="s">
        <v>77</v>
      </c>
      <c r="B41" s="343"/>
      <c r="C41" s="345"/>
      <c r="D41" s="7" t="s">
        <v>75</v>
      </c>
      <c r="E41" s="7">
        <v>40</v>
      </c>
    </row>
    <row r="42" spans="1:5">
      <c r="A42" s="5" t="s">
        <v>78</v>
      </c>
      <c r="B42" s="343"/>
      <c r="C42" s="345"/>
      <c r="D42" s="7" t="s">
        <v>75</v>
      </c>
      <c r="E42" s="7">
        <v>20</v>
      </c>
    </row>
    <row r="43" spans="1:5">
      <c r="A43" s="5" t="s">
        <v>79</v>
      </c>
      <c r="B43" s="343"/>
      <c r="C43" s="345"/>
      <c r="D43" s="7" t="s">
        <v>75</v>
      </c>
      <c r="E43" s="7">
        <v>20</v>
      </c>
    </row>
    <row r="44" spans="1:5">
      <c r="A44" s="5" t="s">
        <v>80</v>
      </c>
      <c r="B44" s="343"/>
      <c r="C44" s="345"/>
      <c r="D44" s="7" t="s">
        <v>75</v>
      </c>
      <c r="E44" s="7">
        <v>20</v>
      </c>
    </row>
    <row r="45" spans="1:5">
      <c r="A45" s="5" t="s">
        <v>81</v>
      </c>
      <c r="B45" s="343"/>
      <c r="C45" s="345"/>
      <c r="D45" s="7" t="s">
        <v>75</v>
      </c>
      <c r="E45" s="7">
        <v>100</v>
      </c>
    </row>
    <row r="48" spans="1:5" ht="14.4" thickBot="1">
      <c r="A48" s="1" t="s">
        <v>87</v>
      </c>
    </row>
    <row r="49" spans="1:5">
      <c r="B49" s="4" t="s">
        <v>20</v>
      </c>
      <c r="C49" s="4" t="s">
        <v>21</v>
      </c>
      <c r="D49" s="4" t="s">
        <v>22</v>
      </c>
      <c r="E49" s="4" t="s">
        <v>23</v>
      </c>
    </row>
    <row r="50" spans="1:5">
      <c r="A50" s="5" t="s">
        <v>74</v>
      </c>
      <c r="B50" s="346"/>
      <c r="C50" s="349"/>
      <c r="D50" s="7" t="s">
        <v>75</v>
      </c>
      <c r="E50" s="7">
        <v>1</v>
      </c>
    </row>
    <row r="51" spans="1:5">
      <c r="A51" s="5" t="s">
        <v>76</v>
      </c>
      <c r="B51" s="347"/>
      <c r="C51" s="350"/>
      <c r="D51" s="7" t="s">
        <v>75</v>
      </c>
      <c r="E51" s="7">
        <v>1</v>
      </c>
    </row>
    <row r="52" spans="1:5">
      <c r="A52" s="5" t="s">
        <v>77</v>
      </c>
      <c r="B52" s="347"/>
      <c r="C52" s="350"/>
      <c r="D52" s="7" t="s">
        <v>75</v>
      </c>
      <c r="E52" s="34">
        <v>3</v>
      </c>
    </row>
    <row r="53" spans="1:5">
      <c r="A53" s="5" t="s">
        <v>78</v>
      </c>
      <c r="B53" s="347"/>
      <c r="C53" s="350"/>
      <c r="D53" s="7" t="s">
        <v>75</v>
      </c>
      <c r="E53" s="7">
        <v>3</v>
      </c>
    </row>
    <row r="54" spans="1:5">
      <c r="A54" s="5" t="s">
        <v>79</v>
      </c>
      <c r="B54" s="347"/>
      <c r="C54" s="350"/>
      <c r="D54" s="7" t="s">
        <v>75</v>
      </c>
      <c r="E54" s="37">
        <v>2</v>
      </c>
    </row>
    <row r="55" spans="1:5">
      <c r="A55" s="5" t="s">
        <v>80</v>
      </c>
      <c r="B55" s="347"/>
      <c r="C55" s="350"/>
      <c r="D55" s="7" t="s">
        <v>75</v>
      </c>
      <c r="E55" s="37">
        <v>2</v>
      </c>
    </row>
    <row r="56" spans="1:5">
      <c r="A56" s="5" t="s">
        <v>81</v>
      </c>
      <c r="B56" s="348"/>
      <c r="C56" s="351"/>
      <c r="D56" s="7" t="s">
        <v>75</v>
      </c>
      <c r="E56" s="37">
        <v>2</v>
      </c>
    </row>
    <row r="59" spans="1:5" ht="14.4" thickBot="1">
      <c r="A59" s="1" t="s">
        <v>88</v>
      </c>
    </row>
    <row r="60" spans="1:5">
      <c r="B60" s="4" t="s">
        <v>20</v>
      </c>
      <c r="C60" s="4" t="s">
        <v>21</v>
      </c>
      <c r="D60" s="4" t="s">
        <v>22</v>
      </c>
      <c r="E60" s="4" t="s">
        <v>23</v>
      </c>
    </row>
    <row r="61" spans="1:5" ht="14.4" customHeight="1">
      <c r="A61" s="5" t="s">
        <v>74</v>
      </c>
      <c r="B61" s="343"/>
      <c r="C61" s="341" t="s">
        <v>89</v>
      </c>
      <c r="D61" s="7" t="s">
        <v>75</v>
      </c>
      <c r="E61" s="7">
        <v>1</v>
      </c>
    </row>
    <row r="62" spans="1:5">
      <c r="A62" s="5" t="s">
        <v>76</v>
      </c>
      <c r="B62" s="343"/>
      <c r="C62" s="339"/>
      <c r="D62" s="7" t="s">
        <v>75</v>
      </c>
      <c r="E62" s="7">
        <v>1</v>
      </c>
    </row>
    <row r="63" spans="1:5">
      <c r="A63" s="5" t="s">
        <v>77</v>
      </c>
      <c r="B63" s="343"/>
      <c r="C63" s="339"/>
      <c r="D63" s="7" t="s">
        <v>75</v>
      </c>
      <c r="E63" s="7">
        <v>2</v>
      </c>
    </row>
    <row r="64" spans="1:5">
      <c r="A64" s="5" t="s">
        <v>78</v>
      </c>
      <c r="B64" s="343"/>
      <c r="C64" s="339"/>
      <c r="D64" s="7" t="s">
        <v>75</v>
      </c>
      <c r="E64" s="7">
        <v>1</v>
      </c>
    </row>
    <row r="65" spans="1:5">
      <c r="A65" s="5" t="s">
        <v>79</v>
      </c>
      <c r="B65" s="343"/>
      <c r="C65" s="339"/>
      <c r="D65" s="7" t="s">
        <v>75</v>
      </c>
      <c r="E65" s="37">
        <v>1</v>
      </c>
    </row>
    <row r="66" spans="1:5">
      <c r="A66" s="5" t="s">
        <v>80</v>
      </c>
      <c r="B66" s="343"/>
      <c r="C66" s="339"/>
      <c r="D66" s="7" t="s">
        <v>75</v>
      </c>
      <c r="E66" s="7">
        <v>1</v>
      </c>
    </row>
    <row r="67" spans="1:5">
      <c r="A67" s="5" t="s">
        <v>81</v>
      </c>
      <c r="B67" s="343"/>
      <c r="C67" s="340"/>
      <c r="D67" s="7" t="s">
        <v>75</v>
      </c>
      <c r="E67" s="7">
        <v>1</v>
      </c>
    </row>
    <row r="70" spans="1:5">
      <c r="A70" s="33" t="s">
        <v>90</v>
      </c>
    </row>
    <row r="72" spans="1:5" ht="14.4" thickBot="1">
      <c r="A72" s="1" t="s">
        <v>91</v>
      </c>
    </row>
    <row r="73" spans="1:5">
      <c r="B73" s="4" t="s">
        <v>20</v>
      </c>
      <c r="C73" s="4" t="s">
        <v>21</v>
      </c>
      <c r="D73" s="4" t="s">
        <v>22</v>
      </c>
      <c r="E73" s="4" t="s">
        <v>23</v>
      </c>
    </row>
    <row r="74" spans="1:5">
      <c r="A74" s="5" t="s">
        <v>74</v>
      </c>
      <c r="B74" s="338" t="s">
        <v>92</v>
      </c>
      <c r="C74" s="341" t="s">
        <v>93</v>
      </c>
      <c r="D74" s="7" t="s">
        <v>94</v>
      </c>
      <c r="E74" s="38">
        <v>0.5</v>
      </c>
    </row>
    <row r="75" spans="1:5">
      <c r="A75" s="5" t="s">
        <v>76</v>
      </c>
      <c r="B75" s="342"/>
      <c r="C75" s="339"/>
      <c r="D75" s="7" t="s">
        <v>94</v>
      </c>
      <c r="E75" s="38">
        <v>0.5</v>
      </c>
    </row>
    <row r="76" spans="1:5">
      <c r="A76" s="5" t="s">
        <v>77</v>
      </c>
      <c r="B76" s="342"/>
      <c r="C76" s="339"/>
      <c r="D76" s="7" t="s">
        <v>94</v>
      </c>
      <c r="E76" s="38">
        <v>20</v>
      </c>
    </row>
    <row r="77" spans="1:5">
      <c r="A77" s="5" t="s">
        <v>78</v>
      </c>
      <c r="B77" s="342"/>
      <c r="C77" s="339"/>
      <c r="D77" s="7" t="s">
        <v>94</v>
      </c>
      <c r="E77" s="38">
        <v>50</v>
      </c>
    </row>
    <row r="78" spans="1:5">
      <c r="A78" s="5" t="s">
        <v>79</v>
      </c>
      <c r="B78" s="342"/>
      <c r="C78" s="339"/>
      <c r="D78" s="7" t="s">
        <v>94</v>
      </c>
      <c r="E78" s="39">
        <f>990+4352</f>
        <v>5342</v>
      </c>
    </row>
    <row r="79" spans="1:5">
      <c r="A79" s="5" t="s">
        <v>80</v>
      </c>
      <c r="B79" s="342"/>
      <c r="C79" s="339"/>
      <c r="D79" s="7" t="s">
        <v>94</v>
      </c>
      <c r="E79" s="38">
        <v>0.5</v>
      </c>
    </row>
    <row r="80" spans="1:5">
      <c r="A80" s="5" t="s">
        <v>81</v>
      </c>
      <c r="B80" s="342"/>
      <c r="C80" s="340"/>
      <c r="D80" s="7" t="s">
        <v>94</v>
      </c>
      <c r="E80" s="38">
        <v>0.5</v>
      </c>
    </row>
    <row r="83" spans="1:5" ht="14.4" thickBot="1">
      <c r="A83" s="1" t="s">
        <v>95</v>
      </c>
    </row>
    <row r="84" spans="1:5">
      <c r="B84" s="4" t="s">
        <v>20</v>
      </c>
      <c r="C84" s="4" t="s">
        <v>21</v>
      </c>
      <c r="D84" s="4" t="s">
        <v>22</v>
      </c>
      <c r="E84" s="4" t="s">
        <v>23</v>
      </c>
    </row>
    <row r="85" spans="1:5" ht="13.8" customHeight="1">
      <c r="A85" s="5" t="s">
        <v>74</v>
      </c>
      <c r="B85" s="338" t="s">
        <v>92</v>
      </c>
      <c r="C85" s="341" t="s">
        <v>96</v>
      </c>
      <c r="D85" s="7" t="s">
        <v>94</v>
      </c>
      <c r="E85" s="38">
        <v>1000</v>
      </c>
    </row>
    <row r="86" spans="1:5">
      <c r="A86" s="5" t="s">
        <v>76</v>
      </c>
      <c r="B86" s="342"/>
      <c r="C86" s="339"/>
      <c r="D86" s="7" t="s">
        <v>94</v>
      </c>
      <c r="E86" s="38">
        <v>155</v>
      </c>
    </row>
    <row r="87" spans="1:5">
      <c r="A87" s="5" t="s">
        <v>77</v>
      </c>
      <c r="B87" s="342"/>
      <c r="C87" s="339"/>
      <c r="D87" s="7" t="s">
        <v>94</v>
      </c>
      <c r="E87" s="38">
        <v>0</v>
      </c>
    </row>
    <row r="88" spans="1:5">
      <c r="A88" s="5" t="s">
        <v>78</v>
      </c>
      <c r="B88" s="342"/>
      <c r="C88" s="339"/>
      <c r="D88" s="7" t="s">
        <v>94</v>
      </c>
      <c r="E88" s="38">
        <v>0</v>
      </c>
    </row>
    <row r="89" spans="1:5">
      <c r="A89" s="5" t="s">
        <v>79</v>
      </c>
      <c r="B89" s="342"/>
      <c r="C89" s="339"/>
      <c r="D89" s="7" t="s">
        <v>94</v>
      </c>
      <c r="E89" s="38">
        <v>0</v>
      </c>
    </row>
    <row r="90" spans="1:5">
      <c r="A90" s="5" t="s">
        <v>80</v>
      </c>
      <c r="B90" s="342"/>
      <c r="C90" s="339"/>
      <c r="D90" s="7" t="s">
        <v>94</v>
      </c>
      <c r="E90" s="38">
        <v>0.5</v>
      </c>
    </row>
    <row r="91" spans="1:5">
      <c r="A91" s="5" t="s">
        <v>81</v>
      </c>
      <c r="B91" s="342"/>
      <c r="C91" s="340"/>
      <c r="D91" s="7" t="s">
        <v>94</v>
      </c>
      <c r="E91" s="38">
        <v>0</v>
      </c>
    </row>
    <row r="94" spans="1:5" ht="14.4" thickBot="1">
      <c r="A94" s="1" t="s">
        <v>97</v>
      </c>
    </row>
    <row r="95" spans="1:5">
      <c r="B95" s="4" t="s">
        <v>20</v>
      </c>
      <c r="C95" s="4" t="s">
        <v>21</v>
      </c>
      <c r="D95" s="4" t="s">
        <v>22</v>
      </c>
      <c r="E95" s="4" t="s">
        <v>23</v>
      </c>
    </row>
    <row r="96" spans="1:5" ht="13.8" customHeight="1">
      <c r="A96" s="5" t="s">
        <v>74</v>
      </c>
      <c r="B96" s="338" t="s">
        <v>92</v>
      </c>
      <c r="C96" s="341" t="s">
        <v>98</v>
      </c>
      <c r="D96" s="7" t="s">
        <v>94</v>
      </c>
      <c r="E96" s="38">
        <v>0</v>
      </c>
    </row>
    <row r="97" spans="1:6">
      <c r="A97" s="5" t="s">
        <v>76</v>
      </c>
      <c r="B97" s="342"/>
      <c r="C97" s="339"/>
      <c r="D97" s="7" t="s">
        <v>94</v>
      </c>
      <c r="E97" s="38">
        <v>155</v>
      </c>
    </row>
    <row r="98" spans="1:6">
      <c r="A98" s="5" t="s">
        <v>77</v>
      </c>
      <c r="B98" s="342"/>
      <c r="C98" s="339"/>
      <c r="D98" s="7" t="s">
        <v>94</v>
      </c>
      <c r="E98" s="38">
        <v>0</v>
      </c>
    </row>
    <row r="99" spans="1:6">
      <c r="A99" s="5" t="s">
        <v>78</v>
      </c>
      <c r="B99" s="342"/>
      <c r="C99" s="339"/>
      <c r="D99" s="7" t="s">
        <v>94</v>
      </c>
      <c r="E99" s="38">
        <v>0</v>
      </c>
    </row>
    <row r="100" spans="1:6">
      <c r="A100" s="5" t="s">
        <v>79</v>
      </c>
      <c r="B100" s="342"/>
      <c r="C100" s="339"/>
      <c r="D100" s="7" t="s">
        <v>94</v>
      </c>
      <c r="E100" s="38">
        <v>0</v>
      </c>
    </row>
    <row r="101" spans="1:6">
      <c r="A101" s="5" t="s">
        <v>80</v>
      </c>
      <c r="B101" s="342"/>
      <c r="C101" s="339"/>
      <c r="D101" s="7" t="s">
        <v>94</v>
      </c>
      <c r="E101" s="38">
        <v>0</v>
      </c>
    </row>
    <row r="102" spans="1:6">
      <c r="A102" s="5" t="s">
        <v>81</v>
      </c>
      <c r="B102" s="342"/>
      <c r="C102" s="340"/>
      <c r="D102" s="7" t="s">
        <v>94</v>
      </c>
      <c r="E102" s="38">
        <v>0</v>
      </c>
    </row>
    <row r="105" spans="1:6" ht="14.4" thickBot="1">
      <c r="A105" s="1" t="s">
        <v>99</v>
      </c>
    </row>
    <row r="106" spans="1:6">
      <c r="B106" s="4" t="s">
        <v>20</v>
      </c>
      <c r="C106" s="4" t="s">
        <v>21</v>
      </c>
      <c r="D106" s="4" t="s">
        <v>22</v>
      </c>
      <c r="E106" s="4" t="s">
        <v>23</v>
      </c>
    </row>
    <row r="107" spans="1:6">
      <c r="A107" s="5" t="s">
        <v>74</v>
      </c>
      <c r="B107" s="40" t="s">
        <v>100</v>
      </c>
      <c r="C107" s="22" t="s">
        <v>101</v>
      </c>
      <c r="D107" s="7" t="s">
        <v>94</v>
      </c>
      <c r="E107" s="38">
        <v>1398</v>
      </c>
    </row>
    <row r="108" spans="1:6">
      <c r="A108" s="5" t="s">
        <v>76</v>
      </c>
      <c r="B108" s="40" t="s">
        <v>102</v>
      </c>
      <c r="C108" s="22" t="s">
        <v>101</v>
      </c>
      <c r="D108" s="7" t="s">
        <v>94</v>
      </c>
      <c r="E108" s="38">
        <v>822</v>
      </c>
    </row>
    <row r="109" spans="1:6" s="43" customFormat="1" ht="27.6">
      <c r="A109" s="5" t="s">
        <v>77</v>
      </c>
      <c r="B109" s="21" t="s">
        <v>103</v>
      </c>
      <c r="C109" s="22" t="s">
        <v>104</v>
      </c>
      <c r="D109" s="41" t="s">
        <v>94</v>
      </c>
      <c r="E109" s="42">
        <v>14.43</v>
      </c>
    </row>
    <row r="110" spans="1:6" s="43" customFormat="1" ht="27.6">
      <c r="A110" s="5" t="s">
        <v>79</v>
      </c>
      <c r="B110" s="20" t="s">
        <v>105</v>
      </c>
      <c r="C110" s="22" t="s">
        <v>106</v>
      </c>
      <c r="D110" s="41" t="s">
        <v>94</v>
      </c>
      <c r="E110" s="41">
        <v>199486111111</v>
      </c>
      <c r="F110" s="43" t="s">
        <v>107</v>
      </c>
    </row>
    <row r="111" spans="1:6">
      <c r="A111" s="5" t="s">
        <v>80</v>
      </c>
      <c r="B111" s="40" t="s">
        <v>108</v>
      </c>
      <c r="C111" s="15" t="s">
        <v>108</v>
      </c>
      <c r="D111" s="7" t="s">
        <v>94</v>
      </c>
      <c r="E111" s="7">
        <v>0</v>
      </c>
    </row>
    <row r="112" spans="1:6">
      <c r="A112" s="5" t="s">
        <v>81</v>
      </c>
      <c r="B112" s="40" t="s">
        <v>108</v>
      </c>
      <c r="C112" s="15" t="s">
        <v>108</v>
      </c>
      <c r="D112" s="7" t="s">
        <v>94</v>
      </c>
      <c r="E112" s="7">
        <v>0</v>
      </c>
    </row>
    <row r="115" spans="1:5">
      <c r="A115" s="33" t="s">
        <v>109</v>
      </c>
    </row>
    <row r="117" spans="1:5" ht="14.4" thickBot="1">
      <c r="A117" s="1" t="s">
        <v>110</v>
      </c>
    </row>
    <row r="118" spans="1:5">
      <c r="B118" s="4" t="s">
        <v>20</v>
      </c>
      <c r="C118" s="4" t="s">
        <v>21</v>
      </c>
      <c r="D118" s="4" t="s">
        <v>22</v>
      </c>
      <c r="E118" s="4" t="s">
        <v>23</v>
      </c>
    </row>
    <row r="119" spans="1:5">
      <c r="A119" s="5" t="s">
        <v>74</v>
      </c>
      <c r="B119" s="338"/>
      <c r="C119" s="341" t="s">
        <v>111</v>
      </c>
      <c r="D119" s="7" t="s">
        <v>112</v>
      </c>
      <c r="E119" s="7">
        <v>1</v>
      </c>
    </row>
    <row r="120" spans="1:5">
      <c r="A120" s="5" t="s">
        <v>76</v>
      </c>
      <c r="B120" s="342"/>
      <c r="C120" s="339"/>
      <c r="D120" s="7" t="s">
        <v>112</v>
      </c>
      <c r="E120" s="7">
        <v>1</v>
      </c>
    </row>
    <row r="121" spans="1:5">
      <c r="A121" s="5" t="s">
        <v>77</v>
      </c>
      <c r="B121" s="342"/>
      <c r="C121" s="339"/>
      <c r="D121" s="7" t="s">
        <v>112</v>
      </c>
      <c r="E121" s="7">
        <v>1</v>
      </c>
    </row>
    <row r="122" spans="1:5">
      <c r="A122" s="5" t="s">
        <v>78</v>
      </c>
      <c r="B122" s="342"/>
      <c r="C122" s="339"/>
      <c r="D122" s="7" t="s">
        <v>112</v>
      </c>
      <c r="E122" s="7">
        <v>0.33</v>
      </c>
    </row>
    <row r="123" spans="1:5">
      <c r="A123" s="5" t="s">
        <v>79</v>
      </c>
      <c r="B123" s="342"/>
      <c r="C123" s="339"/>
      <c r="D123" s="7" t="s">
        <v>112</v>
      </c>
      <c r="E123" s="7">
        <v>0.33</v>
      </c>
    </row>
    <row r="124" spans="1:5">
      <c r="A124" s="5" t="s">
        <v>80</v>
      </c>
      <c r="B124" s="342"/>
      <c r="C124" s="339"/>
      <c r="D124" s="7" t="s">
        <v>112</v>
      </c>
      <c r="E124" s="7">
        <v>0.38</v>
      </c>
    </row>
    <row r="125" spans="1:5">
      <c r="A125" s="5" t="s">
        <v>81</v>
      </c>
      <c r="B125" s="342"/>
      <c r="C125" s="340"/>
      <c r="D125" s="7" t="s">
        <v>112</v>
      </c>
      <c r="E125" s="7">
        <v>0.36</v>
      </c>
    </row>
    <row r="128" spans="1:5" ht="14.4" thickBot="1">
      <c r="A128" s="1" t="s">
        <v>113</v>
      </c>
    </row>
    <row r="129" spans="1:5">
      <c r="B129" s="4" t="s">
        <v>20</v>
      </c>
      <c r="C129" s="4" t="s">
        <v>21</v>
      </c>
      <c r="D129" s="4" t="s">
        <v>22</v>
      </c>
      <c r="E129" s="4" t="s">
        <v>23</v>
      </c>
    </row>
    <row r="130" spans="1:5">
      <c r="A130" s="5" t="s">
        <v>74</v>
      </c>
      <c r="B130" s="338" t="s">
        <v>114</v>
      </c>
      <c r="C130" s="341" t="s">
        <v>115</v>
      </c>
      <c r="D130" s="7" t="s">
        <v>112</v>
      </c>
      <c r="E130" s="38">
        <v>0.25</v>
      </c>
    </row>
    <row r="131" spans="1:5">
      <c r="A131" s="5" t="s">
        <v>76</v>
      </c>
      <c r="B131" s="342"/>
      <c r="C131" s="339"/>
      <c r="D131" s="7" t="s">
        <v>112</v>
      </c>
      <c r="E131" s="38">
        <v>0.33</v>
      </c>
    </row>
    <row r="132" spans="1:5">
      <c r="A132" s="5" t="s">
        <v>77</v>
      </c>
      <c r="B132" s="342"/>
      <c r="C132" s="339"/>
      <c r="D132" s="7" t="s">
        <v>112</v>
      </c>
      <c r="E132" s="38">
        <v>0.42</v>
      </c>
    </row>
    <row r="133" spans="1:5">
      <c r="A133" s="5" t="s">
        <v>78</v>
      </c>
      <c r="B133" s="342"/>
      <c r="C133" s="339"/>
      <c r="D133" s="7" t="s">
        <v>112</v>
      </c>
      <c r="E133" s="38">
        <v>0.59</v>
      </c>
    </row>
    <row r="134" spans="1:5">
      <c r="A134" s="5" t="s">
        <v>79</v>
      </c>
      <c r="B134" s="342"/>
      <c r="C134" s="339"/>
      <c r="D134" s="7" t="s">
        <v>112</v>
      </c>
      <c r="E134" s="44">
        <v>0.6</v>
      </c>
    </row>
    <row r="135" spans="1:5">
      <c r="A135" s="5" t="s">
        <v>80</v>
      </c>
      <c r="B135" s="342"/>
      <c r="C135" s="339"/>
      <c r="D135" s="7" t="s">
        <v>112</v>
      </c>
      <c r="E135" s="38">
        <v>0.41</v>
      </c>
    </row>
    <row r="136" spans="1:5">
      <c r="A136" s="5" t="s">
        <v>81</v>
      </c>
      <c r="B136" s="342"/>
      <c r="C136" s="340"/>
      <c r="D136" s="7" t="s">
        <v>112</v>
      </c>
      <c r="E136" s="38">
        <v>0.56000000000000005</v>
      </c>
    </row>
    <row r="139" spans="1:5" ht="14.4" thickBot="1">
      <c r="A139" s="1" t="s">
        <v>116</v>
      </c>
    </row>
    <row r="140" spans="1:5">
      <c r="B140" s="4" t="s">
        <v>20</v>
      </c>
      <c r="C140" s="4" t="s">
        <v>21</v>
      </c>
      <c r="D140" s="4" t="s">
        <v>22</v>
      </c>
      <c r="E140" s="4" t="s">
        <v>23</v>
      </c>
    </row>
    <row r="141" spans="1:5">
      <c r="A141" s="5" t="s">
        <v>74</v>
      </c>
      <c r="B141" s="343"/>
      <c r="C141" s="344" t="s">
        <v>117</v>
      </c>
      <c r="D141" s="7" t="s">
        <v>112</v>
      </c>
      <c r="E141" s="7">
        <v>0.25</v>
      </c>
    </row>
    <row r="142" spans="1:5">
      <c r="A142" s="5" t="s">
        <v>76</v>
      </c>
      <c r="B142" s="343"/>
      <c r="C142" s="344"/>
      <c r="D142" s="7" t="s">
        <v>112</v>
      </c>
      <c r="E142" s="7">
        <v>0.25</v>
      </c>
    </row>
    <row r="145" spans="1:5">
      <c r="A145" s="33" t="s">
        <v>118</v>
      </c>
    </row>
    <row r="147" spans="1:5" ht="14.4" thickBot="1">
      <c r="A147" s="1" t="s">
        <v>119</v>
      </c>
    </row>
    <row r="148" spans="1:5">
      <c r="B148" s="4" t="s">
        <v>20</v>
      </c>
      <c r="C148" s="4" t="s">
        <v>21</v>
      </c>
      <c r="D148" s="4" t="s">
        <v>22</v>
      </c>
      <c r="E148" s="4" t="s">
        <v>23</v>
      </c>
    </row>
    <row r="149" spans="1:5">
      <c r="A149" s="5" t="s">
        <v>74</v>
      </c>
      <c r="B149" s="338"/>
      <c r="C149" s="341" t="s">
        <v>120</v>
      </c>
      <c r="D149" s="7" t="s">
        <v>121</v>
      </c>
      <c r="E149" s="34">
        <v>0</v>
      </c>
    </row>
    <row r="150" spans="1:5">
      <c r="A150" s="5" t="s">
        <v>76</v>
      </c>
      <c r="B150" s="338"/>
      <c r="C150" s="339"/>
      <c r="D150" s="7" t="s">
        <v>121</v>
      </c>
      <c r="E150" s="34">
        <v>0</v>
      </c>
    </row>
    <row r="151" spans="1:5">
      <c r="A151" s="5" t="s">
        <v>77</v>
      </c>
      <c r="B151" s="338"/>
      <c r="C151" s="339"/>
      <c r="D151" s="7" t="s">
        <v>121</v>
      </c>
      <c r="E151" s="34">
        <v>0</v>
      </c>
    </row>
    <row r="152" spans="1:5">
      <c r="A152" s="5" t="s">
        <v>78</v>
      </c>
      <c r="B152" s="338"/>
      <c r="C152" s="339"/>
      <c r="D152" s="7" t="s">
        <v>121</v>
      </c>
      <c r="E152" s="34">
        <v>0</v>
      </c>
    </row>
    <row r="153" spans="1:5">
      <c r="A153" s="5" t="s">
        <v>79</v>
      </c>
      <c r="B153" s="338"/>
      <c r="C153" s="339"/>
      <c r="D153" s="7" t="s">
        <v>121</v>
      </c>
      <c r="E153" s="38">
        <v>94</v>
      </c>
    </row>
    <row r="154" spans="1:5">
      <c r="A154" s="5" t="s">
        <v>80</v>
      </c>
      <c r="B154" s="338"/>
      <c r="C154" s="339"/>
      <c r="D154" s="7" t="s">
        <v>121</v>
      </c>
      <c r="E154" s="38">
        <v>57</v>
      </c>
    </row>
    <row r="155" spans="1:5">
      <c r="A155" s="5" t="s">
        <v>81</v>
      </c>
      <c r="B155" s="338"/>
      <c r="C155" s="340"/>
      <c r="D155" s="7" t="s">
        <v>121</v>
      </c>
      <c r="E155" s="38">
        <v>79</v>
      </c>
    </row>
    <row r="158" spans="1:5" ht="14.4" thickBot="1">
      <c r="A158" s="1" t="s">
        <v>122</v>
      </c>
    </row>
    <row r="159" spans="1:5">
      <c r="B159" s="4" t="s">
        <v>20</v>
      </c>
      <c r="C159" s="4" t="s">
        <v>21</v>
      </c>
      <c r="D159" s="4" t="s">
        <v>22</v>
      </c>
      <c r="E159" s="4" t="s">
        <v>23</v>
      </c>
    </row>
    <row r="160" spans="1:5">
      <c r="A160" s="5" t="s">
        <v>74</v>
      </c>
      <c r="B160" s="338" t="s">
        <v>123</v>
      </c>
      <c r="C160" s="341" t="s">
        <v>124</v>
      </c>
      <c r="D160" s="7" t="s">
        <v>125</v>
      </c>
      <c r="E160" s="45">
        <f>20/1000</f>
        <v>0.02</v>
      </c>
    </row>
    <row r="161" spans="1:5">
      <c r="A161" s="5" t="s">
        <v>76</v>
      </c>
      <c r="B161" s="338"/>
      <c r="C161" s="339"/>
      <c r="D161" s="7" t="s">
        <v>125</v>
      </c>
      <c r="E161" s="45">
        <f>6.55/1000</f>
        <v>6.5499999999999994E-3</v>
      </c>
    </row>
    <row r="162" spans="1:5">
      <c r="A162" s="5" t="s">
        <v>77</v>
      </c>
      <c r="B162" s="338"/>
      <c r="C162" s="339"/>
      <c r="D162" s="7" t="s">
        <v>125</v>
      </c>
      <c r="E162" s="45">
        <v>2.273658E-3</v>
      </c>
    </row>
    <row r="163" spans="1:5">
      <c r="A163" s="5" t="s">
        <v>78</v>
      </c>
      <c r="B163" s="338"/>
      <c r="C163" s="339"/>
      <c r="D163" s="7" t="s">
        <v>125</v>
      </c>
      <c r="E163" s="45">
        <f>0.27/1000</f>
        <v>2.7E-4</v>
      </c>
    </row>
    <row r="164" spans="1:5">
      <c r="A164" s="5" t="s">
        <v>79</v>
      </c>
      <c r="B164" s="338"/>
      <c r="C164" s="339"/>
      <c r="D164" s="7" t="s">
        <v>125</v>
      </c>
      <c r="E164" s="45">
        <v>2.4615600000000005E-2</v>
      </c>
    </row>
    <row r="165" spans="1:5">
      <c r="A165" s="5" t="s">
        <v>80</v>
      </c>
      <c r="B165" s="338"/>
      <c r="C165" s="339"/>
      <c r="D165" s="7" t="s">
        <v>125</v>
      </c>
      <c r="E165" s="45">
        <v>1.1212800000000001E-4</v>
      </c>
    </row>
    <row r="166" spans="1:5">
      <c r="A166" s="5" t="s">
        <v>81</v>
      </c>
      <c r="B166" s="338"/>
      <c r="C166" s="340"/>
      <c r="D166" s="7" t="s">
        <v>125</v>
      </c>
      <c r="E166" s="45">
        <v>2.2425600000000002E-4</v>
      </c>
    </row>
    <row r="169" spans="1:5" ht="14.4" thickBot="1">
      <c r="A169" s="1" t="s">
        <v>126</v>
      </c>
    </row>
    <row r="170" spans="1:5">
      <c r="B170" s="4" t="s">
        <v>20</v>
      </c>
      <c r="C170" s="4" t="s">
        <v>21</v>
      </c>
      <c r="D170" s="4" t="s">
        <v>22</v>
      </c>
      <c r="E170" s="4" t="s">
        <v>23</v>
      </c>
    </row>
    <row r="171" spans="1:5">
      <c r="A171" s="5" t="s">
        <v>74</v>
      </c>
      <c r="B171" s="338" t="s">
        <v>127</v>
      </c>
      <c r="C171" s="341" t="s">
        <v>128</v>
      </c>
      <c r="D171" s="7" t="s">
        <v>129</v>
      </c>
      <c r="E171" s="38">
        <v>1.4999999999999999E-2</v>
      </c>
    </row>
    <row r="172" spans="1:5">
      <c r="A172" s="5" t="s">
        <v>76</v>
      </c>
      <c r="B172" s="338"/>
      <c r="C172" s="339"/>
      <c r="D172" s="7" t="s">
        <v>129</v>
      </c>
      <c r="E172" s="38">
        <v>0.19</v>
      </c>
    </row>
    <row r="173" spans="1:5">
      <c r="A173" s="5" t="s">
        <v>77</v>
      </c>
      <c r="B173" s="338"/>
      <c r="C173" s="339"/>
      <c r="D173" s="7" t="s">
        <v>129</v>
      </c>
      <c r="E173" s="38">
        <v>2.0950000000000002</v>
      </c>
    </row>
    <row r="174" spans="1:5">
      <c r="A174" s="5" t="s">
        <v>78</v>
      </c>
      <c r="B174" s="338"/>
      <c r="C174" s="339"/>
      <c r="D174" s="7" t="s">
        <v>129</v>
      </c>
      <c r="E174" s="38">
        <v>0.19</v>
      </c>
    </row>
    <row r="175" spans="1:5">
      <c r="A175" s="5" t="s">
        <v>79</v>
      </c>
      <c r="B175" s="338"/>
      <c r="C175" s="339"/>
      <c r="D175" s="7" t="s">
        <v>129</v>
      </c>
      <c r="E175" s="38">
        <v>8.0000000000000004E-4</v>
      </c>
    </row>
    <row r="176" spans="1:5">
      <c r="A176" s="5" t="s">
        <v>80</v>
      </c>
      <c r="B176" s="338"/>
      <c r="C176" s="339"/>
      <c r="D176" s="7" t="s">
        <v>129</v>
      </c>
      <c r="E176" s="38">
        <v>0.67800000000000005</v>
      </c>
    </row>
    <row r="177" spans="1:13">
      <c r="A177" s="5" t="s">
        <v>81</v>
      </c>
      <c r="B177" s="338"/>
      <c r="C177" s="340"/>
      <c r="D177" s="7" t="s">
        <v>129</v>
      </c>
      <c r="E177" s="38">
        <v>0.2</v>
      </c>
    </row>
    <row r="180" spans="1:13" ht="14.4" thickBot="1">
      <c r="A180" s="1" t="s">
        <v>130</v>
      </c>
    </row>
    <row r="181" spans="1:13">
      <c r="B181" s="4" t="s">
        <v>20</v>
      </c>
      <c r="C181" s="46" t="s">
        <v>21</v>
      </c>
      <c r="D181" s="4" t="s">
        <v>22</v>
      </c>
      <c r="E181" s="4" t="s">
        <v>23</v>
      </c>
    </row>
    <row r="182" spans="1:13">
      <c r="A182" s="5" t="s">
        <v>78</v>
      </c>
      <c r="B182" s="338" t="s">
        <v>127</v>
      </c>
      <c r="C182" s="339" t="s">
        <v>131</v>
      </c>
      <c r="D182" s="7" t="s">
        <v>129</v>
      </c>
      <c r="E182" s="38"/>
    </row>
    <row r="183" spans="1:13">
      <c r="A183" s="5" t="s">
        <v>79</v>
      </c>
      <c r="B183" s="338"/>
      <c r="C183" s="339"/>
      <c r="D183" s="7" t="s">
        <v>129</v>
      </c>
      <c r="E183" s="38">
        <v>0.20100000000000001</v>
      </c>
    </row>
    <row r="184" spans="1:13">
      <c r="A184" s="5" t="s">
        <v>80</v>
      </c>
      <c r="B184" s="338"/>
      <c r="C184" s="339"/>
      <c r="D184" s="7" t="s">
        <v>129</v>
      </c>
      <c r="E184" s="38">
        <v>0.12</v>
      </c>
    </row>
    <row r="185" spans="1:13">
      <c r="A185" s="5" t="s">
        <v>81</v>
      </c>
      <c r="B185" s="338"/>
      <c r="C185" s="340"/>
      <c r="D185" s="7" t="s">
        <v>129</v>
      </c>
      <c r="E185" s="38">
        <v>0.372</v>
      </c>
    </row>
    <row r="188" spans="1:13">
      <c r="A188" s="33" t="s">
        <v>132</v>
      </c>
    </row>
    <row r="189" spans="1:13">
      <c r="A189" s="2"/>
    </row>
    <row r="190" spans="1:13" ht="14.4" thickBot="1">
      <c r="A190" s="1" t="s">
        <v>133</v>
      </c>
      <c r="E190" s="47"/>
      <c r="F190" s="47"/>
      <c r="G190" s="47"/>
      <c r="H190" s="47"/>
      <c r="I190" s="47"/>
      <c r="J190" s="47"/>
      <c r="K190" s="47"/>
      <c r="L190" s="47"/>
    </row>
    <row r="191" spans="1:13" ht="14.4" thickBot="1">
      <c r="B191" s="4" t="s">
        <v>20</v>
      </c>
      <c r="C191" s="4" t="s">
        <v>21</v>
      </c>
      <c r="D191" s="4" t="s">
        <v>22</v>
      </c>
      <c r="E191" s="4">
        <v>2013</v>
      </c>
      <c r="F191" s="4">
        <v>2014</v>
      </c>
      <c r="G191" s="4">
        <v>2015</v>
      </c>
      <c r="H191" s="4">
        <v>2016</v>
      </c>
      <c r="I191" s="4">
        <v>2017</v>
      </c>
      <c r="J191" s="4">
        <v>2018</v>
      </c>
      <c r="K191" s="4">
        <v>2019</v>
      </c>
      <c r="L191" s="4">
        <v>2020</v>
      </c>
      <c r="M191" s="4">
        <v>2021</v>
      </c>
    </row>
    <row r="192" spans="1:13" ht="14.4" thickBot="1">
      <c r="A192" s="48" t="s">
        <v>134</v>
      </c>
      <c r="B192" s="338" t="s">
        <v>135</v>
      </c>
      <c r="C192" s="341" t="s">
        <v>136</v>
      </c>
      <c r="D192" s="49" t="s">
        <v>137</v>
      </c>
      <c r="E192" s="50">
        <v>2.27414153436456E+16</v>
      </c>
      <c r="F192" s="51">
        <v>2.57802557804068E+16</v>
      </c>
      <c r="G192" s="51">
        <v>2.7703672927778E+16</v>
      </c>
      <c r="H192" s="51">
        <v>2.5604532856312E+16</v>
      </c>
      <c r="I192" s="51">
        <v>3.18588838068523E+16</v>
      </c>
      <c r="J192" s="51">
        <v>2.82676998960266E+16</v>
      </c>
      <c r="K192" s="51">
        <v>4.4547937705974096E+16</v>
      </c>
      <c r="L192" s="51">
        <v>2.87729029257493E+16</v>
      </c>
      <c r="M192" s="52">
        <v>3.20053327596564E+16</v>
      </c>
    </row>
    <row r="193" spans="1:13">
      <c r="A193" s="53" t="s">
        <v>138</v>
      </c>
      <c r="B193" s="338"/>
      <c r="C193" s="339"/>
      <c r="D193" s="49" t="s">
        <v>137</v>
      </c>
      <c r="E193" s="54">
        <v>273473216545227.5</v>
      </c>
      <c r="F193" s="54">
        <v>2842031964602875</v>
      </c>
      <c r="G193" s="54">
        <v>1421315009513865.3</v>
      </c>
      <c r="H193" s="54">
        <v>1224836052024098.5</v>
      </c>
      <c r="I193" s="54">
        <v>1152303144401201.5</v>
      </c>
      <c r="J193" s="54">
        <v>1206240147967850.5</v>
      </c>
      <c r="K193" s="54">
        <v>899000656082467.5</v>
      </c>
      <c r="L193" s="54">
        <v>1433129270398032.3</v>
      </c>
      <c r="M193" s="54">
        <v>1643530041185922.8</v>
      </c>
    </row>
    <row r="194" spans="1:13">
      <c r="A194" s="55" t="s">
        <v>139</v>
      </c>
      <c r="B194" s="338"/>
      <c r="C194" s="339"/>
      <c r="D194" s="49" t="s">
        <v>137</v>
      </c>
      <c r="E194" s="56">
        <v>1.0078659710845664E+16</v>
      </c>
      <c r="F194" s="56">
        <v>7874521338406070</v>
      </c>
      <c r="G194" s="56">
        <v>1.311281859031893E+16</v>
      </c>
      <c r="H194" s="56">
        <v>1.1590064001743768E+16</v>
      </c>
      <c r="I194" s="56">
        <v>1.3308366339172004E+16</v>
      </c>
      <c r="J194" s="56">
        <v>1.1829363749902332E+16</v>
      </c>
      <c r="K194" s="56">
        <v>3.2242103699820136E+16</v>
      </c>
      <c r="L194" s="56">
        <v>1.5218248050589964E+16</v>
      </c>
      <c r="M194" s="56">
        <v>1.5546143980019646E+16</v>
      </c>
    </row>
    <row r="195" spans="1:13">
      <c r="A195" s="57" t="s">
        <v>140</v>
      </c>
      <c r="B195" s="338"/>
      <c r="C195" s="339"/>
      <c r="D195" s="49" t="s">
        <v>137</v>
      </c>
      <c r="E195" s="56">
        <v>2174966192672870</v>
      </c>
      <c r="F195" s="56">
        <v>2246803020598950</v>
      </c>
      <c r="G195" s="56">
        <v>2235844447501967</v>
      </c>
      <c r="H195" s="56">
        <v>2158517235026210</v>
      </c>
      <c r="I195" s="56">
        <v>4697473377586497</v>
      </c>
      <c r="J195" s="56">
        <v>4184768264209047</v>
      </c>
      <c r="K195" s="56">
        <v>2262917074957650</v>
      </c>
      <c r="L195" s="56">
        <v>2338668997125981</v>
      </c>
      <c r="M195" s="56">
        <v>2422514198901303</v>
      </c>
    </row>
    <row r="196" spans="1:13">
      <c r="A196" s="55" t="s">
        <v>141</v>
      </c>
      <c r="B196" s="338"/>
      <c r="C196" s="339"/>
      <c r="D196" s="49" t="s">
        <v>137</v>
      </c>
      <c r="E196" s="56">
        <v>362765599970449.13</v>
      </c>
      <c r="F196" s="56">
        <v>2932328946906290.5</v>
      </c>
      <c r="G196" s="56">
        <v>1421315009513865.3</v>
      </c>
      <c r="H196" s="56">
        <v>1224836052024098.5</v>
      </c>
      <c r="I196" s="56">
        <v>3124856988519951.5</v>
      </c>
      <c r="J196" s="56">
        <v>1206240147967850.5</v>
      </c>
      <c r="K196" s="56">
        <v>899000656082467.5</v>
      </c>
      <c r="L196" s="56">
        <v>1433129270398032.3</v>
      </c>
      <c r="M196" s="56">
        <v>1643530041185922.8</v>
      </c>
    </row>
    <row r="197" spans="1:13" ht="14.4" thickBot="1">
      <c r="A197" s="58" t="s">
        <v>142</v>
      </c>
      <c r="B197" s="338"/>
      <c r="C197" s="339"/>
      <c r="D197" s="49" t="s">
        <v>137</v>
      </c>
      <c r="E197" s="56">
        <v>9851550623611350</v>
      </c>
      <c r="F197" s="56">
        <v>9884570509892590</v>
      </c>
      <c r="G197" s="56">
        <v>9512379870929340</v>
      </c>
      <c r="H197" s="56">
        <v>9406279515493800</v>
      </c>
      <c r="I197" s="56">
        <v>9575883957172640</v>
      </c>
      <c r="J197" s="56">
        <v>9841087585979550</v>
      </c>
      <c r="K197" s="56">
        <v>8244915619031293</v>
      </c>
      <c r="L197" s="56">
        <v>8349727337237229</v>
      </c>
      <c r="M197" s="56">
        <v>1.07496144983636E+16</v>
      </c>
    </row>
    <row r="198" spans="1:13" ht="14.4" thickBot="1">
      <c r="A198" s="48" t="s">
        <v>143</v>
      </c>
      <c r="B198" s="338"/>
      <c r="C198" s="339"/>
      <c r="D198" s="49" t="s">
        <v>137</v>
      </c>
      <c r="E198" s="50">
        <v>1.3416647824842E+16</v>
      </c>
      <c r="F198" s="51">
        <v>1.52450697505079E+16</v>
      </c>
      <c r="G198" s="51">
        <v>1.52796759318943E+16</v>
      </c>
      <c r="H198" s="51">
        <v>1.35534006525342E+16</v>
      </c>
      <c r="I198" s="51">
        <v>1.43304548268244E+16</v>
      </c>
      <c r="J198" s="51">
        <v>1.62418640084865E+16</v>
      </c>
      <c r="K198" s="51">
        <v>1.68542281587681E+16</v>
      </c>
      <c r="L198" s="51">
        <v>1.51710494349209E+16</v>
      </c>
      <c r="M198" s="52">
        <v>1.71266296233684E+16</v>
      </c>
    </row>
    <row r="199" spans="1:13">
      <c r="A199" s="53" t="s">
        <v>138</v>
      </c>
      <c r="B199" s="338"/>
      <c r="C199" s="339"/>
      <c r="D199" s="49" t="s">
        <v>137</v>
      </c>
      <c r="E199" s="54">
        <v>3959126025669520</v>
      </c>
      <c r="F199" s="54">
        <v>5168832427639065</v>
      </c>
      <c r="G199" s="54">
        <v>5779291259861673</v>
      </c>
      <c r="H199" s="54">
        <v>3486950505248420</v>
      </c>
      <c r="I199" s="54">
        <v>4588340070065061</v>
      </c>
      <c r="J199" s="54">
        <v>6254900036728242</v>
      </c>
      <c r="K199" s="54">
        <v>6532798861671921</v>
      </c>
      <c r="L199" s="54">
        <v>4672748419822174</v>
      </c>
      <c r="M199" s="54">
        <v>3762542231325620</v>
      </c>
    </row>
    <row r="200" spans="1:13">
      <c r="A200" s="55" t="s">
        <v>139</v>
      </c>
      <c r="B200" s="338"/>
      <c r="C200" s="339"/>
      <c r="D200" s="49" t="s">
        <v>137</v>
      </c>
      <c r="E200" s="56">
        <v>67805101506605.297</v>
      </c>
      <c r="F200" s="56">
        <v>43931204558770.203</v>
      </c>
      <c r="G200" s="56">
        <v>380020349353736.5</v>
      </c>
      <c r="H200" s="56">
        <v>561313006498808.19</v>
      </c>
      <c r="I200" s="56">
        <v>208777004365378.41</v>
      </c>
      <c r="J200" s="56">
        <v>624190332107855</v>
      </c>
      <c r="K200" s="56">
        <v>1011512181654850.1</v>
      </c>
      <c r="L200" s="56">
        <v>1707791475759362.5</v>
      </c>
      <c r="M200" s="56">
        <v>4596534956003733</v>
      </c>
    </row>
    <row r="201" spans="1:13">
      <c r="A201" s="57" t="s">
        <v>140</v>
      </c>
      <c r="B201" s="338"/>
      <c r="C201" s="339"/>
      <c r="D201" s="49" t="s">
        <v>137</v>
      </c>
      <c r="E201" s="56">
        <v>0</v>
      </c>
      <c r="F201" s="56">
        <v>0</v>
      </c>
      <c r="G201" s="56">
        <v>0</v>
      </c>
      <c r="H201" s="56">
        <v>0</v>
      </c>
      <c r="I201" s="56">
        <v>0</v>
      </c>
      <c r="J201" s="56">
        <v>0</v>
      </c>
      <c r="K201" s="56">
        <v>0</v>
      </c>
      <c r="L201" s="56">
        <v>0</v>
      </c>
      <c r="M201" s="56">
        <v>0</v>
      </c>
    </row>
    <row r="202" spans="1:13">
      <c r="A202" s="55" t="s">
        <v>141</v>
      </c>
      <c r="B202" s="338"/>
      <c r="C202" s="339"/>
      <c r="D202" s="49" t="s">
        <v>137</v>
      </c>
      <c r="E202" s="56">
        <v>0</v>
      </c>
      <c r="F202" s="56">
        <v>0</v>
      </c>
      <c r="G202" s="56">
        <v>0</v>
      </c>
      <c r="H202" s="56">
        <v>0</v>
      </c>
      <c r="I202" s="56">
        <v>0</v>
      </c>
      <c r="J202" s="56">
        <v>0</v>
      </c>
      <c r="K202" s="56">
        <v>0</v>
      </c>
      <c r="L202" s="56">
        <v>0</v>
      </c>
      <c r="M202" s="56">
        <v>0</v>
      </c>
    </row>
    <row r="203" spans="1:13" ht="14.4" thickBot="1">
      <c r="A203" s="58" t="s">
        <v>142</v>
      </c>
      <c r="B203" s="338"/>
      <c r="C203" s="339"/>
      <c r="D203" s="49" t="s">
        <v>137</v>
      </c>
      <c r="E203" s="56">
        <v>9389716697665830</v>
      </c>
      <c r="F203" s="56">
        <v>1.00323061183101E+16</v>
      </c>
      <c r="G203" s="56">
        <v>9120364322678860</v>
      </c>
      <c r="H203" s="56">
        <v>9505137140786980</v>
      </c>
      <c r="I203" s="56">
        <v>9533337752393970</v>
      </c>
      <c r="J203" s="56">
        <v>9362773639650440</v>
      </c>
      <c r="K203" s="56">
        <v>9309917115441310</v>
      </c>
      <c r="L203" s="56">
        <v>8790509539339356</v>
      </c>
      <c r="M203" s="56">
        <v>8767552436039023</v>
      </c>
    </row>
    <row r="204" spans="1:13" ht="14.4" thickBot="1">
      <c r="A204" s="48" t="s">
        <v>144</v>
      </c>
      <c r="B204" s="338"/>
      <c r="C204" s="339"/>
      <c r="D204" s="49" t="s">
        <v>137</v>
      </c>
      <c r="E204" s="50">
        <v>3505350300987045</v>
      </c>
      <c r="F204" s="51">
        <v>3554977951201800</v>
      </c>
      <c r="G204" s="51">
        <v>3160879260114230</v>
      </c>
      <c r="H204" s="51">
        <v>3345779552261680</v>
      </c>
      <c r="I204" s="51">
        <v>3091633576026210</v>
      </c>
      <c r="J204" s="51">
        <v>3782102112902918</v>
      </c>
      <c r="K204" s="51">
        <v>3315978492924654</v>
      </c>
      <c r="L204" s="51">
        <v>3647547536622181</v>
      </c>
      <c r="M204" s="52">
        <v>4127694039860270</v>
      </c>
    </row>
    <row r="205" spans="1:13">
      <c r="A205" s="53" t="s">
        <v>138</v>
      </c>
      <c r="B205" s="338"/>
      <c r="C205" s="339"/>
      <c r="D205" s="49" t="s">
        <v>137</v>
      </c>
      <c r="E205" s="54">
        <v>2019537469772554</v>
      </c>
      <c r="F205" s="54">
        <v>2738450462327400</v>
      </c>
      <c r="G205" s="54">
        <v>1924859767513502</v>
      </c>
      <c r="H205" s="54">
        <v>2140782429900300</v>
      </c>
      <c r="I205" s="54">
        <v>2156336453548563</v>
      </c>
      <c r="J205" s="54">
        <v>2115619160785230</v>
      </c>
      <c r="K205" s="54">
        <v>2092410053772910</v>
      </c>
      <c r="L205" s="54">
        <v>2403527807414820</v>
      </c>
      <c r="M205" s="54">
        <v>2613701902614260</v>
      </c>
    </row>
    <row r="206" spans="1:13">
      <c r="A206" s="55" t="s">
        <v>139</v>
      </c>
      <c r="B206" s="338"/>
      <c r="C206" s="339"/>
      <c r="D206" s="49" t="s">
        <v>137</v>
      </c>
      <c r="E206" s="56">
        <v>662170398263859</v>
      </c>
      <c r="F206" s="56">
        <v>0</v>
      </c>
      <c r="G206" s="56">
        <v>423992656859210</v>
      </c>
      <c r="H206" s="56">
        <v>405624403917793</v>
      </c>
      <c r="I206" s="56">
        <v>5344722245597.0996</v>
      </c>
      <c r="J206" s="56">
        <v>795728806669176</v>
      </c>
      <c r="K206" s="56">
        <v>411094900383651</v>
      </c>
      <c r="L206" s="56">
        <v>412321708999331</v>
      </c>
      <c r="M206" s="56">
        <v>448374019073265</v>
      </c>
    </row>
    <row r="207" spans="1:13">
      <c r="A207" s="57" t="s">
        <v>140</v>
      </c>
      <c r="B207" s="338"/>
      <c r="C207" s="339"/>
      <c r="D207" s="49" t="s">
        <v>137</v>
      </c>
      <c r="E207" s="56">
        <v>0</v>
      </c>
      <c r="F207" s="56">
        <v>0</v>
      </c>
      <c r="G207" s="56">
        <v>0</v>
      </c>
      <c r="H207" s="56">
        <v>0</v>
      </c>
      <c r="I207" s="56">
        <v>0</v>
      </c>
      <c r="J207" s="56">
        <v>0</v>
      </c>
      <c r="K207" s="56">
        <v>0</v>
      </c>
      <c r="L207" s="56">
        <v>0</v>
      </c>
      <c r="M207" s="56">
        <v>0</v>
      </c>
    </row>
    <row r="208" spans="1:13">
      <c r="A208" s="55" t="s">
        <v>141</v>
      </c>
      <c r="B208" s="338"/>
      <c r="C208" s="339"/>
      <c r="D208" s="49" t="s">
        <v>137</v>
      </c>
      <c r="E208" s="56">
        <v>30735490434955.301</v>
      </c>
      <c r="F208" s="56">
        <v>31960620386547.199</v>
      </c>
      <c r="G208" s="56">
        <v>35449269656378.898</v>
      </c>
      <c r="H208" s="56">
        <v>0</v>
      </c>
      <c r="I208" s="56">
        <v>0</v>
      </c>
      <c r="J208" s="56">
        <v>0</v>
      </c>
      <c r="K208" s="56">
        <v>0</v>
      </c>
      <c r="L208" s="56">
        <v>0</v>
      </c>
      <c r="M208" s="56">
        <v>0</v>
      </c>
    </row>
    <row r="209" spans="1:14" ht="14.4" thickBot="1">
      <c r="A209" s="58" t="s">
        <v>142</v>
      </c>
      <c r="B209" s="338"/>
      <c r="C209" s="339"/>
      <c r="D209" s="49" t="s">
        <v>137</v>
      </c>
      <c r="E209" s="56">
        <v>792906942515677</v>
      </c>
      <c r="F209" s="56">
        <v>784566868487857</v>
      </c>
      <c r="G209" s="56">
        <v>776577566085136</v>
      </c>
      <c r="H209" s="56">
        <v>799372718443588</v>
      </c>
      <c r="I209" s="56">
        <v>929952400232050</v>
      </c>
      <c r="J209" s="56">
        <v>870754145448517</v>
      </c>
      <c r="K209" s="56">
        <v>812473538768097</v>
      </c>
      <c r="L209" s="56">
        <v>831698020208030</v>
      </c>
      <c r="M209" s="56">
        <v>1065618118172750</v>
      </c>
    </row>
    <row r="210" spans="1:14" ht="14.4" thickBot="1">
      <c r="A210" s="48" t="s">
        <v>145</v>
      </c>
      <c r="B210" s="338"/>
      <c r="C210" s="339"/>
      <c r="D210" s="49" t="s">
        <v>137</v>
      </c>
      <c r="E210" s="50">
        <v>1.3588083754002888E+16</v>
      </c>
      <c r="F210" s="50">
        <v>1.287632565821624E+16</v>
      </c>
      <c r="G210" s="50">
        <v>1.3113379190341526E+16</v>
      </c>
      <c r="H210" s="50">
        <v>1.351500654847121E+16</v>
      </c>
      <c r="I210" s="50">
        <v>1.371101745045318E+16</v>
      </c>
      <c r="J210" s="50">
        <v>1.4033627290387984E+16</v>
      </c>
      <c r="K210" s="50">
        <v>1.1252146442914696E+16</v>
      </c>
      <c r="L210" s="50">
        <v>8829872669569263</v>
      </c>
      <c r="M210" s="50">
        <v>1.0217338632675058E+16</v>
      </c>
    </row>
    <row r="211" spans="1:14">
      <c r="A211" s="53" t="s">
        <v>138</v>
      </c>
      <c r="B211" s="338"/>
      <c r="C211" s="339"/>
      <c r="D211" s="49" t="s">
        <v>137</v>
      </c>
      <c r="E211" s="54">
        <v>1.33475588273373E+16</v>
      </c>
      <c r="F211" s="54">
        <v>1.26465884987923E+16</v>
      </c>
      <c r="G211" s="54">
        <v>1.2902223897286E+16</v>
      </c>
      <c r="H211" s="54">
        <v>1.33049974493728E+16</v>
      </c>
      <c r="I211" s="54">
        <v>1.34922646447398E+16</v>
      </c>
      <c r="J211" s="54">
        <v>1.3806042139773E+16</v>
      </c>
      <c r="K211" s="54">
        <v>1.10681756247019E+16</v>
      </c>
      <c r="L211" s="54">
        <v>8700197209761426</v>
      </c>
      <c r="M211" s="54">
        <v>9992997552300580</v>
      </c>
    </row>
    <row r="212" spans="1:14">
      <c r="A212" s="55" t="s">
        <v>139</v>
      </c>
      <c r="B212" s="338"/>
      <c r="C212" s="339"/>
      <c r="D212" s="49" t="s">
        <v>137</v>
      </c>
      <c r="E212" s="56">
        <v>8002770199930.4297</v>
      </c>
      <c r="F212" s="56">
        <v>0</v>
      </c>
      <c r="G212" s="56">
        <v>0</v>
      </c>
      <c r="H212" s="56">
        <v>0</v>
      </c>
      <c r="I212" s="56">
        <v>0</v>
      </c>
      <c r="J212" s="56">
        <v>0</v>
      </c>
      <c r="K212" s="56">
        <v>0</v>
      </c>
      <c r="L212" s="56">
        <v>0</v>
      </c>
      <c r="M212" s="56">
        <v>0</v>
      </c>
    </row>
    <row r="213" spans="1:14">
      <c r="A213" s="57" t="s">
        <v>140</v>
      </c>
      <c r="B213" s="338"/>
      <c r="C213" s="339"/>
      <c r="D213" s="49" t="s">
        <v>137</v>
      </c>
      <c r="E213" s="56">
        <v>0</v>
      </c>
      <c r="F213" s="56">
        <v>0</v>
      </c>
      <c r="G213" s="56">
        <v>0</v>
      </c>
      <c r="H213" s="56">
        <v>0</v>
      </c>
      <c r="I213" s="56">
        <v>0</v>
      </c>
      <c r="J213" s="56">
        <v>0</v>
      </c>
      <c r="K213" s="56">
        <v>0</v>
      </c>
      <c r="L213" s="56">
        <v>0</v>
      </c>
      <c r="M213" s="56">
        <v>0</v>
      </c>
    </row>
    <row r="214" spans="1:14">
      <c r="A214" s="55" t="s">
        <v>141</v>
      </c>
      <c r="B214" s="338"/>
      <c r="C214" s="339"/>
      <c r="D214" s="49" t="s">
        <v>137</v>
      </c>
      <c r="E214" s="56">
        <v>0</v>
      </c>
      <c r="F214" s="56">
        <v>0</v>
      </c>
      <c r="G214" s="56">
        <v>0</v>
      </c>
      <c r="H214" s="56">
        <v>0</v>
      </c>
      <c r="I214" s="56">
        <v>0</v>
      </c>
      <c r="J214" s="56">
        <v>0</v>
      </c>
      <c r="K214" s="56">
        <v>0</v>
      </c>
      <c r="L214" s="56">
        <v>0</v>
      </c>
      <c r="M214" s="56">
        <v>0</v>
      </c>
    </row>
    <row r="215" spans="1:14" ht="14.4" thickBot="1">
      <c r="A215" s="58" t="s">
        <v>142</v>
      </c>
      <c r="B215" s="338"/>
      <c r="C215" s="339"/>
      <c r="D215" s="49" t="s">
        <v>137</v>
      </c>
      <c r="E215" s="56">
        <v>232522156465657</v>
      </c>
      <c r="F215" s="56">
        <v>229737159423940</v>
      </c>
      <c r="G215" s="56">
        <v>211155293055526</v>
      </c>
      <c r="H215" s="56">
        <v>210009099098410</v>
      </c>
      <c r="I215" s="56">
        <v>218752805713380</v>
      </c>
      <c r="J215" s="56">
        <v>227585150614983</v>
      </c>
      <c r="K215" s="56">
        <v>183970818212797</v>
      </c>
      <c r="L215" s="56">
        <v>129675459807837</v>
      </c>
      <c r="M215" s="56">
        <v>224341080374478</v>
      </c>
      <c r="N215" s="47"/>
    </row>
    <row r="216" spans="1:14" ht="14.4" thickBot="1">
      <c r="A216" s="48" t="s">
        <v>146</v>
      </c>
      <c r="B216" s="338"/>
      <c r="C216" s="339"/>
      <c r="D216" s="49" t="s">
        <v>137</v>
      </c>
      <c r="E216" s="50">
        <v>4216696086006252</v>
      </c>
      <c r="F216" s="51">
        <v>4156512000392834</v>
      </c>
      <c r="G216" s="51">
        <v>3728449133012610</v>
      </c>
      <c r="H216" s="51">
        <v>3942218968660820</v>
      </c>
      <c r="I216" s="51">
        <v>4477190847474305</v>
      </c>
      <c r="J216" s="51">
        <v>4526224481956592</v>
      </c>
      <c r="K216" s="52">
        <v>5951693464585824</v>
      </c>
      <c r="L216" s="59">
        <v>5293608829799239</v>
      </c>
      <c r="M216" s="59">
        <v>5065471653121386</v>
      </c>
    </row>
    <row r="217" spans="1:14">
      <c r="A217" s="53" t="s">
        <v>138</v>
      </c>
      <c r="B217" s="338"/>
      <c r="C217" s="339"/>
      <c r="D217" s="49" t="s">
        <v>137</v>
      </c>
      <c r="E217" s="54">
        <v>452904342338555</v>
      </c>
      <c r="F217" s="54">
        <v>1894998146774110</v>
      </c>
      <c r="G217" s="54">
        <v>207638437009366</v>
      </c>
      <c r="H217" s="54">
        <v>386206549031440</v>
      </c>
      <c r="I217" s="54">
        <v>391507776969168</v>
      </c>
      <c r="J217" s="54">
        <v>342938361568899</v>
      </c>
      <c r="K217" s="54">
        <v>364455505129200</v>
      </c>
      <c r="L217" s="54">
        <v>550198364137798</v>
      </c>
      <c r="M217" s="54">
        <v>611821544676206</v>
      </c>
    </row>
    <row r="218" spans="1:14">
      <c r="A218" s="55" t="s">
        <v>139</v>
      </c>
      <c r="B218" s="338"/>
      <c r="C218" s="339"/>
      <c r="D218" s="49" t="s">
        <v>137</v>
      </c>
      <c r="E218" s="56">
        <v>1481089755664690</v>
      </c>
      <c r="F218" s="56">
        <v>767832780501.85999</v>
      </c>
      <c r="G218" s="56">
        <v>1259524643195160</v>
      </c>
      <c r="H218" s="56">
        <v>1162097634128919</v>
      </c>
      <c r="I218" s="56">
        <v>1167107402675440</v>
      </c>
      <c r="J218" s="56">
        <v>1188540920851240</v>
      </c>
      <c r="K218" s="56">
        <v>1153476256742930</v>
      </c>
      <c r="L218" s="56">
        <v>1082056711395170</v>
      </c>
      <c r="M218" s="56">
        <v>1203247016591750</v>
      </c>
    </row>
    <row r="219" spans="1:14">
      <c r="A219" s="57" t="s">
        <v>140</v>
      </c>
      <c r="B219" s="338"/>
      <c r="C219" s="339"/>
      <c r="D219" s="49" t="s">
        <v>137</v>
      </c>
      <c r="E219" s="56">
        <v>0</v>
      </c>
      <c r="F219" s="56">
        <v>0</v>
      </c>
      <c r="G219" s="56">
        <v>0</v>
      </c>
      <c r="H219" s="56">
        <v>0</v>
      </c>
      <c r="I219" s="56">
        <v>0</v>
      </c>
      <c r="J219" s="56">
        <v>0</v>
      </c>
      <c r="K219" s="56">
        <v>0</v>
      </c>
      <c r="L219" s="56">
        <v>0</v>
      </c>
      <c r="M219" s="56">
        <v>0</v>
      </c>
    </row>
    <row r="220" spans="1:14">
      <c r="A220" s="55" t="s">
        <v>141</v>
      </c>
      <c r="B220" s="338"/>
      <c r="C220" s="339"/>
      <c r="D220" s="49" t="s">
        <v>137</v>
      </c>
      <c r="E220" s="56">
        <v>20432944177416.699</v>
      </c>
      <c r="F220" s="56">
        <v>21243373593884.801</v>
      </c>
      <c r="G220" s="56">
        <v>22130959558680.5</v>
      </c>
      <c r="H220" s="56">
        <v>170725688560915</v>
      </c>
      <c r="I220" s="56">
        <v>662824282895054</v>
      </c>
      <c r="J220" s="56">
        <v>671420728270575</v>
      </c>
      <c r="K220" s="56">
        <v>1536361484213666</v>
      </c>
      <c r="L220" s="56">
        <v>892827412123449</v>
      </c>
      <c r="M220" s="56">
        <v>794322866359563</v>
      </c>
    </row>
    <row r="221" spans="1:14" ht="14.4" thickBot="1">
      <c r="A221" s="58" t="s">
        <v>142</v>
      </c>
      <c r="B221" s="338"/>
      <c r="C221" s="339"/>
      <c r="D221" s="49" t="s">
        <v>137</v>
      </c>
      <c r="E221" s="56">
        <v>2262269043825590</v>
      </c>
      <c r="F221" s="56">
        <v>2238112870565050</v>
      </c>
      <c r="G221" s="56">
        <v>2237765748449690</v>
      </c>
      <c r="H221" s="56">
        <v>2221825067378190</v>
      </c>
      <c r="I221" s="56">
        <v>2229084771685818</v>
      </c>
      <c r="J221" s="56">
        <v>2299815409613060</v>
      </c>
      <c r="K221" s="56">
        <v>2873669146462335</v>
      </c>
      <c r="L221" s="56">
        <v>2745196966622692</v>
      </c>
      <c r="M221" s="56">
        <v>2430073608488030</v>
      </c>
    </row>
    <row r="222" spans="1:14" ht="14.4" thickBot="1">
      <c r="A222" s="48" t="s">
        <v>147</v>
      </c>
      <c r="B222" s="338"/>
      <c r="C222" s="339"/>
      <c r="D222" s="49" t="s">
        <v>137</v>
      </c>
      <c r="E222" s="50">
        <v>1.315192329590576E+16</v>
      </c>
      <c r="F222" s="50">
        <v>1.306895759617564E+16</v>
      </c>
      <c r="G222" s="50">
        <v>1.2678325207424762E+16</v>
      </c>
      <c r="H222" s="50">
        <v>1.2596911097239064E+16</v>
      </c>
      <c r="I222" s="50">
        <v>1.730086563369389E+16</v>
      </c>
      <c r="J222" s="50">
        <v>1.2610399601148172E+16</v>
      </c>
      <c r="K222" s="50">
        <v>1.8021695909949688E+16</v>
      </c>
      <c r="L222" s="50">
        <v>1.696613533171256E+16</v>
      </c>
      <c r="M222" s="50">
        <v>1.4430671500850972E+16</v>
      </c>
    </row>
    <row r="223" spans="1:14">
      <c r="A223" s="53" t="s">
        <v>138</v>
      </c>
      <c r="B223" s="338"/>
      <c r="C223" s="339"/>
      <c r="D223" s="49" t="s">
        <v>137</v>
      </c>
      <c r="E223" s="56">
        <v>0</v>
      </c>
      <c r="F223" s="56">
        <v>0</v>
      </c>
      <c r="G223" s="56">
        <v>0</v>
      </c>
      <c r="H223" s="56">
        <v>0</v>
      </c>
      <c r="I223" s="56">
        <v>0</v>
      </c>
      <c r="J223" s="56">
        <v>0</v>
      </c>
      <c r="K223" s="56">
        <v>0</v>
      </c>
      <c r="L223" s="56">
        <v>0</v>
      </c>
      <c r="M223" s="56">
        <v>0</v>
      </c>
    </row>
    <row r="224" spans="1:14">
      <c r="A224" s="55" t="s">
        <v>139</v>
      </c>
      <c r="B224" s="338"/>
      <c r="C224" s="339"/>
      <c r="D224" s="49" t="s">
        <v>137</v>
      </c>
      <c r="E224" s="56">
        <v>3751106959212320</v>
      </c>
      <c r="F224" s="56">
        <v>0</v>
      </c>
      <c r="G224" s="56">
        <v>3347128194124620</v>
      </c>
      <c r="H224" s="56">
        <v>3092094878541925</v>
      </c>
      <c r="I224" s="56">
        <v>3225262509355007</v>
      </c>
      <c r="J224" s="56">
        <v>3367761393605890</v>
      </c>
      <c r="K224" s="56">
        <v>3111196192609468</v>
      </c>
      <c r="L224" s="56">
        <v>3218914618778280</v>
      </c>
      <c r="M224" s="56">
        <v>3590625872961819</v>
      </c>
    </row>
    <row r="225" spans="1:13">
      <c r="A225" s="57" t="s">
        <v>140</v>
      </c>
      <c r="B225" s="338"/>
      <c r="C225" s="339"/>
      <c r="D225" s="49" t="s">
        <v>137</v>
      </c>
      <c r="E225" s="56">
        <v>0</v>
      </c>
      <c r="F225" s="56">
        <v>0</v>
      </c>
      <c r="G225" s="56">
        <v>0</v>
      </c>
      <c r="H225" s="56">
        <v>0</v>
      </c>
      <c r="I225" s="56">
        <v>0</v>
      </c>
      <c r="J225" s="56">
        <v>0</v>
      </c>
      <c r="K225" s="56">
        <v>0</v>
      </c>
      <c r="L225" s="56">
        <v>0</v>
      </c>
      <c r="M225" s="56">
        <v>0</v>
      </c>
    </row>
    <row r="226" spans="1:13">
      <c r="A226" s="55" t="s">
        <v>141</v>
      </c>
      <c r="B226" s="338"/>
      <c r="C226" s="339"/>
      <c r="D226" s="49" t="s">
        <v>137</v>
      </c>
      <c r="E226" s="56">
        <v>5269110000862700</v>
      </c>
      <c r="F226" s="56">
        <v>9015542677526270</v>
      </c>
      <c r="G226" s="56">
        <v>5261828488660465</v>
      </c>
      <c r="H226" s="56">
        <v>5464338798818230</v>
      </c>
      <c r="I226" s="56">
        <v>9926162553328532</v>
      </c>
      <c r="J226" s="56">
        <v>5127026277131202</v>
      </c>
      <c r="K226" s="56">
        <v>9845979780163512</v>
      </c>
      <c r="L226" s="56">
        <v>8827548799656346</v>
      </c>
      <c r="M226" s="56">
        <v>6098170204858455</v>
      </c>
    </row>
    <row r="227" spans="1:13" ht="14.4" thickBot="1">
      <c r="A227" s="58" t="s">
        <v>142</v>
      </c>
      <c r="B227" s="338"/>
      <c r="C227" s="339"/>
      <c r="D227" s="49" t="s">
        <v>137</v>
      </c>
      <c r="E227" s="56">
        <v>4131706335830740</v>
      </c>
      <c r="F227" s="56">
        <v>4053414918649369</v>
      </c>
      <c r="G227" s="56">
        <v>4069368524639677</v>
      </c>
      <c r="H227" s="56">
        <v>4040477419878910</v>
      </c>
      <c r="I227" s="56">
        <v>4149440571010350</v>
      </c>
      <c r="J227" s="56">
        <v>4115611930411080</v>
      </c>
      <c r="K227" s="56">
        <v>5064519937176708</v>
      </c>
      <c r="L227" s="56">
        <v>4919671913277933</v>
      </c>
      <c r="M227" s="56">
        <v>4741875423030697</v>
      </c>
    </row>
    <row r="228" spans="1:13" ht="14.4" thickBot="1">
      <c r="A228" s="48" t="s">
        <v>7</v>
      </c>
      <c r="B228" s="338"/>
      <c r="C228" s="339"/>
      <c r="D228" s="49" t="s">
        <v>137</v>
      </c>
      <c r="E228" s="50">
        <v>7.06208876083052E+16</v>
      </c>
      <c r="F228" s="51">
        <v>7.4682217989714592E+16</v>
      </c>
      <c r="G228" s="51">
        <v>7.5664501069632E+16</v>
      </c>
      <c r="H228" s="51">
        <v>7.25579686524544E+16</v>
      </c>
      <c r="I228" s="51">
        <v>8.4776426178921504E+16</v>
      </c>
      <c r="J228" s="51">
        <v>7.94619173909088E+16</v>
      </c>
      <c r="K228" s="51">
        <v>9.99498053073944E+16</v>
      </c>
      <c r="L228" s="51">
        <v>7.8687243816184096E+16</v>
      </c>
      <c r="M228" s="52">
        <v>8.2979777795535504E+16</v>
      </c>
    </row>
    <row r="229" spans="1:13">
      <c r="A229" s="53" t="s">
        <v>138</v>
      </c>
      <c r="B229" s="338"/>
      <c r="C229" s="339"/>
      <c r="D229" s="49" t="s">
        <v>137</v>
      </c>
      <c r="E229" s="60">
        <v>2.19429514400319E+16</v>
      </c>
      <c r="F229" s="60">
        <v>3.8523490820492096E+16</v>
      </c>
      <c r="G229" s="60">
        <v>2.72398126444446E+16</v>
      </c>
      <c r="H229" s="60">
        <v>2.53142748598793E+16</v>
      </c>
      <c r="I229" s="61">
        <v>2.63552112352428E+16</v>
      </c>
      <c r="J229" s="60">
        <v>2.82754525483678E+16</v>
      </c>
      <c r="K229" s="62">
        <v>2.45301793724011E+16</v>
      </c>
      <c r="L229" s="61">
        <v>2.31366929209128E+16</v>
      </c>
      <c r="M229" s="60">
        <v>2.47571158782654E+16</v>
      </c>
    </row>
    <row r="230" spans="1:13">
      <c r="A230" s="55" t="s">
        <v>139</v>
      </c>
      <c r="B230" s="338"/>
      <c r="C230" s="339"/>
      <c r="D230" s="49" t="s">
        <v>137</v>
      </c>
      <c r="E230" s="63">
        <v>1.54820880264196E+16</v>
      </c>
      <c r="F230" s="63">
        <v>2213106315216318</v>
      </c>
      <c r="G230" s="63">
        <v>1.56667874596344E+16</v>
      </c>
      <c r="H230" s="63">
        <v>1.43377745108306E+16</v>
      </c>
      <c r="I230" s="64">
        <v>1.55235151823396E+16</v>
      </c>
      <c r="J230" s="63">
        <v>1.53622981398623E+16</v>
      </c>
      <c r="K230" s="65">
        <v>3.6104274011244304E+16</v>
      </c>
      <c r="L230" s="64">
        <v>1.87416360560116E+16</v>
      </c>
      <c r="M230" s="63">
        <v>2.20978657622783E+16</v>
      </c>
    </row>
    <row r="231" spans="1:13">
      <c r="A231" s="57" t="s">
        <v>140</v>
      </c>
      <c r="B231" s="338"/>
      <c r="C231" s="339"/>
      <c r="D231" s="49" t="s">
        <v>137</v>
      </c>
      <c r="E231" s="63">
        <v>2195537431771660</v>
      </c>
      <c r="F231" s="63">
        <v>2270362181414900</v>
      </c>
      <c r="G231" s="63">
        <v>2251420166557930</v>
      </c>
      <c r="H231" s="63">
        <v>2183747551515370</v>
      </c>
      <c r="I231" s="64">
        <v>4817256535103874</v>
      </c>
      <c r="J231" s="63">
        <v>4239084093200386</v>
      </c>
      <c r="K231" s="65">
        <v>2319881187074590</v>
      </c>
      <c r="L231" s="64">
        <v>2399563429171317</v>
      </c>
      <c r="M231" s="63">
        <v>2455160401910173</v>
      </c>
    </row>
    <row r="232" spans="1:13">
      <c r="A232" s="55" t="s">
        <v>141</v>
      </c>
      <c r="B232" s="338"/>
      <c r="C232" s="339"/>
      <c r="D232" s="49" t="s">
        <v>137</v>
      </c>
      <c r="E232" s="63">
        <v>4339638910167260</v>
      </c>
      <c r="F232" s="63">
        <v>4452550227262343</v>
      </c>
      <c r="G232" s="63">
        <v>4578869473156837</v>
      </c>
      <c r="H232" s="63">
        <v>4539070769149219</v>
      </c>
      <c r="I232" s="64">
        <v>1.1443990968027E+16</v>
      </c>
      <c r="J232" s="63">
        <v>4867454747760737</v>
      </c>
      <c r="K232" s="65">
        <v>1.05060045615819E+16</v>
      </c>
      <c r="L232" s="64">
        <v>8642872173595335</v>
      </c>
      <c r="M232" s="63">
        <v>5690560588612978</v>
      </c>
    </row>
    <row r="233" spans="1:13">
      <c r="A233" s="58" t="s">
        <v>142</v>
      </c>
      <c r="B233" s="338"/>
      <c r="C233" s="340"/>
      <c r="D233" s="49" t="s">
        <v>137</v>
      </c>
      <c r="E233" s="63">
        <v>2.66606717999148E+16</v>
      </c>
      <c r="F233" s="63">
        <v>2.72227084453289E+16</v>
      </c>
      <c r="G233" s="63">
        <v>2.59276113258382E+16</v>
      </c>
      <c r="H233" s="63">
        <v>2.61831009610799E+16</v>
      </c>
      <c r="I233" s="64">
        <v>2.66364522582082E+16</v>
      </c>
      <c r="J233" s="63">
        <v>2.67176278617176E+16</v>
      </c>
      <c r="K233" s="65">
        <v>2.64894661750925E+16</v>
      </c>
      <c r="L233" s="64">
        <v>2.57664792364931E+16</v>
      </c>
      <c r="M233" s="63">
        <v>2.79790751644686E+16</v>
      </c>
    </row>
    <row r="235" spans="1:13" ht="14.4" thickBot="1"/>
    <row r="236" spans="1:13">
      <c r="A236" s="16" t="s">
        <v>20</v>
      </c>
      <c r="B236" s="4" t="s">
        <v>47</v>
      </c>
    </row>
    <row r="237" spans="1:13" ht="27.6">
      <c r="A237" s="21" t="s">
        <v>148</v>
      </c>
      <c r="B237" s="22" t="s">
        <v>149</v>
      </c>
    </row>
    <row r="238" spans="1:13" ht="41.4">
      <c r="A238" s="21" t="s">
        <v>150</v>
      </c>
      <c r="B238" s="22" t="s">
        <v>151</v>
      </c>
    </row>
    <row r="239" spans="1:13" ht="27.6">
      <c r="A239" s="21" t="s">
        <v>100</v>
      </c>
      <c r="B239" s="22" t="s">
        <v>152</v>
      </c>
    </row>
    <row r="240" spans="1:13">
      <c r="A240" s="21" t="s">
        <v>102</v>
      </c>
      <c r="B240" s="22" t="s">
        <v>153</v>
      </c>
    </row>
    <row r="241" spans="1:2" ht="27.6">
      <c r="A241" s="21" t="s">
        <v>103</v>
      </c>
      <c r="B241" s="22" t="s">
        <v>51</v>
      </c>
    </row>
    <row r="242" spans="1:2" ht="55.2">
      <c r="A242" s="21" t="s">
        <v>105</v>
      </c>
      <c r="B242" s="22" t="s">
        <v>154</v>
      </c>
    </row>
    <row r="243" spans="1:2" ht="57.6">
      <c r="A243" s="21" t="s">
        <v>155</v>
      </c>
      <c r="B243" s="66" t="s">
        <v>156</v>
      </c>
    </row>
    <row r="244" spans="1:2" ht="55.2">
      <c r="A244" s="21" t="s">
        <v>157</v>
      </c>
      <c r="B244" s="22" t="s">
        <v>158</v>
      </c>
    </row>
    <row r="245" spans="1:2" ht="27.6">
      <c r="A245" s="21" t="s">
        <v>123</v>
      </c>
      <c r="B245" s="17" t="s">
        <v>159</v>
      </c>
    </row>
    <row r="246" spans="1:2" ht="41.4">
      <c r="A246" s="21" t="s">
        <v>127</v>
      </c>
      <c r="B246" s="22" t="s">
        <v>160</v>
      </c>
    </row>
    <row r="247" spans="1:2" ht="41.4">
      <c r="A247" s="21" t="s">
        <v>161</v>
      </c>
      <c r="B247" s="23" t="s">
        <v>162</v>
      </c>
    </row>
    <row r="248" spans="1:2" ht="27.6">
      <c r="A248" s="21" t="s">
        <v>163</v>
      </c>
      <c r="B248" s="23" t="s">
        <v>164</v>
      </c>
    </row>
    <row r="249" spans="1:2" ht="27.6">
      <c r="A249" s="21" t="s">
        <v>165</v>
      </c>
      <c r="B249" s="23" t="s">
        <v>166</v>
      </c>
    </row>
  </sheetData>
  <mergeCells count="34">
    <mergeCell ref="B6:B12"/>
    <mergeCell ref="C6:C12"/>
    <mergeCell ref="B17:B23"/>
    <mergeCell ref="C17:C23"/>
    <mergeCell ref="B28:B34"/>
    <mergeCell ref="C28:C34"/>
    <mergeCell ref="B39:B45"/>
    <mergeCell ref="C39:C45"/>
    <mergeCell ref="B50:B56"/>
    <mergeCell ref="C50:C56"/>
    <mergeCell ref="B61:B67"/>
    <mergeCell ref="C61:C67"/>
    <mergeCell ref="B74:B80"/>
    <mergeCell ref="C74:C80"/>
    <mergeCell ref="B85:B91"/>
    <mergeCell ref="C85:C91"/>
    <mergeCell ref="B96:B102"/>
    <mergeCell ref="C96:C102"/>
    <mergeCell ref="B119:B125"/>
    <mergeCell ref="C119:C125"/>
    <mergeCell ref="B130:B136"/>
    <mergeCell ref="C130:C136"/>
    <mergeCell ref="B141:B142"/>
    <mergeCell ref="C141:C142"/>
    <mergeCell ref="B182:B185"/>
    <mergeCell ref="C182:C185"/>
    <mergeCell ref="B192:B233"/>
    <mergeCell ref="C192:C233"/>
    <mergeCell ref="B149:B155"/>
    <mergeCell ref="C149:C155"/>
    <mergeCell ref="B160:B166"/>
    <mergeCell ref="C160:C166"/>
    <mergeCell ref="B171:B177"/>
    <mergeCell ref="C171:C177"/>
  </mergeCells>
  <hyperlinks>
    <hyperlink ref="B246" r:id="rId1" xr:uid="{B053D96F-A821-4147-9532-EFF967361D7A}"/>
    <hyperlink ref="B248" r:id="rId2" xr:uid="{C0466312-8D31-4393-9F9F-300FAD4D257B}"/>
    <hyperlink ref="B249" r:id="rId3" xr:uid="{9DA2B126-84E6-46EF-B382-ACCE743AFFD0}"/>
    <hyperlink ref="B237" r:id="rId4" xr:uid="{EAF5BD61-E234-4283-B845-C6F3BE0E3738}"/>
    <hyperlink ref="B243" r:id="rId5" xr:uid="{9BAA434A-1920-4C8E-9AD2-93F04B03F5C7}"/>
  </hyperlinks>
  <pageMargins left="0.7" right="0.7" top="0.75" bottom="0.75" header="0.3" footer="0.3"/>
  <pageSetup paperSize="9" orientation="portrait" r:id="rId6"/>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31B5-816E-437F-82D6-331F225BB270}">
  <dimension ref="A2:Q37"/>
  <sheetViews>
    <sheetView zoomScale="85" zoomScaleNormal="85" workbookViewId="0">
      <selection activeCell="A32" sqref="A32"/>
    </sheetView>
  </sheetViews>
  <sheetFormatPr baseColWidth="10" defaultRowHeight="13.8"/>
  <cols>
    <col min="1" max="1" width="79.44140625" style="3" bestFit="1" customWidth="1"/>
    <col min="2" max="2" width="35.77734375" style="2" customWidth="1"/>
    <col min="3" max="3" width="19.21875" style="3" customWidth="1"/>
    <col min="4" max="4" width="11.5546875" style="3"/>
    <col min="5" max="5" width="9.6640625" style="3" bestFit="1" customWidth="1"/>
    <col min="6" max="17" width="8.44140625" style="3" bestFit="1" customWidth="1"/>
    <col min="18" max="18" width="11.5546875" style="3" customWidth="1"/>
    <col min="19" max="16384" width="11.5546875" style="3"/>
  </cols>
  <sheetData>
    <row r="2" spans="1:17" ht="14.4" thickBot="1">
      <c r="A2" s="1" t="s">
        <v>19</v>
      </c>
    </row>
    <row r="3" spans="1:17">
      <c r="B3" s="4" t="s">
        <v>20</v>
      </c>
      <c r="C3" s="4" t="s">
        <v>21</v>
      </c>
      <c r="D3" s="4" t="s">
        <v>22</v>
      </c>
      <c r="E3" s="4" t="s">
        <v>23</v>
      </c>
    </row>
    <row r="4" spans="1:17">
      <c r="A4" s="5" t="s">
        <v>24</v>
      </c>
      <c r="B4" s="353" t="s">
        <v>56</v>
      </c>
      <c r="C4" s="341" t="s">
        <v>58</v>
      </c>
      <c r="D4" s="7" t="s">
        <v>25</v>
      </c>
      <c r="E4" s="18">
        <v>4775.4066670000002</v>
      </c>
    </row>
    <row r="5" spans="1:17">
      <c r="A5" s="5" t="s">
        <v>54</v>
      </c>
      <c r="B5" s="354"/>
      <c r="C5" s="339"/>
      <c r="D5" s="7" t="s">
        <v>25</v>
      </c>
      <c r="E5" s="9">
        <v>2538.829667</v>
      </c>
    </row>
    <row r="6" spans="1:17">
      <c r="A6" s="5" t="s">
        <v>55</v>
      </c>
      <c r="B6" s="355"/>
      <c r="C6" s="340"/>
      <c r="D6" s="7" t="s">
        <v>25</v>
      </c>
      <c r="E6" s="18">
        <v>9496.445667</v>
      </c>
    </row>
    <row r="8" spans="1:17" ht="14.4" thickBot="1">
      <c r="A8" s="1" t="s">
        <v>26</v>
      </c>
    </row>
    <row r="9" spans="1:17">
      <c r="B9" s="4" t="s">
        <v>20</v>
      </c>
      <c r="C9" s="4" t="s">
        <v>21</v>
      </c>
      <c r="D9" s="4" t="s">
        <v>22</v>
      </c>
      <c r="E9" s="4" t="s">
        <v>23</v>
      </c>
    </row>
    <row r="10" spans="1:17">
      <c r="A10" s="5" t="s">
        <v>29</v>
      </c>
      <c r="B10" s="338" t="s">
        <v>63</v>
      </c>
      <c r="C10" s="345" t="s">
        <v>64</v>
      </c>
      <c r="D10" s="7" t="s">
        <v>28</v>
      </c>
      <c r="E10" s="9">
        <v>4.6800000000000001E-2</v>
      </c>
    </row>
    <row r="11" spans="1:17">
      <c r="A11" s="5" t="s">
        <v>59</v>
      </c>
      <c r="B11" s="342"/>
      <c r="C11" s="345"/>
      <c r="D11" s="7" t="s">
        <v>28</v>
      </c>
      <c r="E11" s="9">
        <v>28.68</v>
      </c>
    </row>
    <row r="12" spans="1:17">
      <c r="A12" s="5" t="s">
        <v>60</v>
      </c>
      <c r="B12" s="342"/>
      <c r="C12" s="345"/>
      <c r="D12" s="7" t="s">
        <v>28</v>
      </c>
      <c r="E12" s="9">
        <v>16.440000000000001</v>
      </c>
    </row>
    <row r="15" spans="1:17" ht="14.4" thickBot="1">
      <c r="A15" s="1" t="s">
        <v>30</v>
      </c>
    </row>
    <row r="16" spans="1:17">
      <c r="B16" s="4" t="s">
        <v>20</v>
      </c>
      <c r="C16" s="4" t="s">
        <v>21</v>
      </c>
      <c r="D16" s="4" t="s">
        <v>22</v>
      </c>
      <c r="E16" s="4">
        <v>2010</v>
      </c>
      <c r="F16" s="4">
        <v>2011</v>
      </c>
      <c r="G16" s="4">
        <v>2012</v>
      </c>
      <c r="H16" s="4">
        <v>2013</v>
      </c>
      <c r="I16" s="4">
        <v>2014</v>
      </c>
      <c r="J16" s="4">
        <v>2015</v>
      </c>
      <c r="K16" s="4">
        <v>2016</v>
      </c>
      <c r="L16" s="4">
        <v>2017</v>
      </c>
      <c r="M16" s="4">
        <v>2018</v>
      </c>
      <c r="N16" s="4">
        <v>2019</v>
      </c>
      <c r="O16" s="4">
        <v>2020</v>
      </c>
      <c r="P16" s="4">
        <v>2021</v>
      </c>
      <c r="Q16" s="4">
        <v>2022</v>
      </c>
    </row>
    <row r="17" spans="1:17">
      <c r="A17" s="5" t="s">
        <v>31</v>
      </c>
      <c r="B17" s="352" t="s">
        <v>32</v>
      </c>
      <c r="C17" s="344" t="s">
        <v>65</v>
      </c>
      <c r="D17" s="7" t="s">
        <v>33</v>
      </c>
      <c r="E17" s="10">
        <v>61.947000000000116</v>
      </c>
      <c r="F17" s="19">
        <v>67.201699999999619</v>
      </c>
      <c r="G17" s="19">
        <v>72.456399999999121</v>
      </c>
      <c r="H17" s="19">
        <v>77.711099999998623</v>
      </c>
      <c r="I17" s="19">
        <v>82.965799999999945</v>
      </c>
      <c r="J17" s="19">
        <v>88.220499999999447</v>
      </c>
      <c r="K17" s="19">
        <v>93.475199999998949</v>
      </c>
      <c r="L17" s="19">
        <v>98.729900000000271</v>
      </c>
      <c r="M17" s="19">
        <v>103.98459999999977</v>
      </c>
      <c r="N17" s="19">
        <v>109.23929999999928</v>
      </c>
      <c r="O17" s="19">
        <v>115.63291500000003</v>
      </c>
      <c r="P17" s="19">
        <v>119.63287499999998</v>
      </c>
      <c r="Q17" s="19">
        <v>123.632835</v>
      </c>
    </row>
    <row r="18" spans="1:17">
      <c r="A18" s="5" t="s">
        <v>34</v>
      </c>
      <c r="B18" s="352"/>
      <c r="C18" s="344"/>
      <c r="D18" s="7" t="s">
        <v>33</v>
      </c>
      <c r="E18" s="10">
        <v>284.18</v>
      </c>
      <c r="F18" s="10">
        <v>284.62</v>
      </c>
      <c r="G18" s="10">
        <v>284.32</v>
      </c>
      <c r="H18" s="10">
        <v>283.47000000000003</v>
      </c>
      <c r="I18" s="10">
        <v>307.22000000000003</v>
      </c>
      <c r="J18" s="10">
        <v>328.96</v>
      </c>
      <c r="K18" s="10">
        <v>332.7</v>
      </c>
      <c r="L18" s="10">
        <v>336.25</v>
      </c>
      <c r="M18" s="10">
        <v>338.66</v>
      </c>
      <c r="N18" s="10">
        <v>317.18</v>
      </c>
      <c r="O18" s="10">
        <v>316.83999999999997</v>
      </c>
      <c r="P18" s="10">
        <v>318.75</v>
      </c>
      <c r="Q18" s="10">
        <v>319.52</v>
      </c>
    </row>
    <row r="21" spans="1:17" ht="14.4" thickBot="1">
      <c r="A21" s="1" t="s">
        <v>35</v>
      </c>
    </row>
    <row r="22" spans="1:17">
      <c r="B22" s="4" t="s">
        <v>20</v>
      </c>
      <c r="C22" s="4" t="s">
        <v>21</v>
      </c>
      <c r="D22" s="4" t="s">
        <v>22</v>
      </c>
      <c r="E22" s="4" t="s">
        <v>23</v>
      </c>
    </row>
    <row r="23" spans="1:17">
      <c r="A23" s="5" t="s">
        <v>66</v>
      </c>
      <c r="B23" s="6" t="s">
        <v>36</v>
      </c>
      <c r="C23" s="11" t="s">
        <v>37</v>
      </c>
      <c r="D23" s="7" t="s">
        <v>38</v>
      </c>
      <c r="E23" s="24">
        <v>6831193260.9775515</v>
      </c>
    </row>
    <row r="24" spans="1:17">
      <c r="A24" s="5" t="s">
        <v>39</v>
      </c>
      <c r="B24" s="6" t="s">
        <v>40</v>
      </c>
      <c r="C24" s="12" t="s">
        <v>41</v>
      </c>
      <c r="D24" s="7" t="s">
        <v>38</v>
      </c>
      <c r="E24" s="25">
        <v>4074543.7734632585</v>
      </c>
      <c r="I24" s="13"/>
    </row>
    <row r="25" spans="1:17">
      <c r="A25" s="5" t="s">
        <v>43</v>
      </c>
      <c r="B25" s="6" t="s">
        <v>44</v>
      </c>
      <c r="C25" s="11" t="s">
        <v>45</v>
      </c>
      <c r="D25" s="7" t="s">
        <v>38</v>
      </c>
      <c r="E25" s="24">
        <v>2520492907.4837341</v>
      </c>
    </row>
    <row r="26" spans="1:17">
      <c r="A26" s="5" t="s">
        <v>46</v>
      </c>
      <c r="B26" s="14"/>
      <c r="C26" s="15"/>
      <c r="D26" s="7" t="s">
        <v>38</v>
      </c>
      <c r="E26" s="24">
        <v>9355760712.2347488</v>
      </c>
    </row>
    <row r="28" spans="1:17" ht="14.4" thickBot="1"/>
    <row r="29" spans="1:17">
      <c r="A29" s="16" t="s">
        <v>20</v>
      </c>
      <c r="B29" s="4" t="s">
        <v>47</v>
      </c>
    </row>
    <row r="30" spans="1:17" ht="41.4">
      <c r="A30" s="6" t="s">
        <v>56</v>
      </c>
      <c r="B30" s="12" t="s">
        <v>57</v>
      </c>
    </row>
    <row r="31" spans="1:17" ht="13.8" customHeight="1">
      <c r="A31" s="8" t="s">
        <v>61</v>
      </c>
      <c r="B31" s="12" t="s">
        <v>62</v>
      </c>
    </row>
    <row r="32" spans="1:17" ht="27.6">
      <c r="A32" s="8" t="s">
        <v>32</v>
      </c>
      <c r="B32" s="12" t="s">
        <v>48</v>
      </c>
    </row>
    <row r="33" spans="1:2" ht="41.4">
      <c r="A33" s="8" t="s">
        <v>27</v>
      </c>
      <c r="B33" s="12" t="s">
        <v>49</v>
      </c>
    </row>
    <row r="34" spans="1:2" ht="27.6">
      <c r="A34" s="6" t="s">
        <v>36</v>
      </c>
      <c r="B34" s="12" t="s">
        <v>50</v>
      </c>
    </row>
    <row r="35" spans="1:2">
      <c r="A35" s="6" t="s">
        <v>40</v>
      </c>
      <c r="B35" s="12" t="s">
        <v>51</v>
      </c>
    </row>
    <row r="36" spans="1:2" ht="27.6">
      <c r="A36" s="6" t="s">
        <v>42</v>
      </c>
      <c r="B36" s="12" t="s">
        <v>52</v>
      </c>
    </row>
    <row r="37" spans="1:2" ht="27.6">
      <c r="A37" s="6" t="s">
        <v>44</v>
      </c>
      <c r="B37" s="17" t="s">
        <v>53</v>
      </c>
    </row>
  </sheetData>
  <mergeCells count="6">
    <mergeCell ref="B10:B12"/>
    <mergeCell ref="C10:C12"/>
    <mergeCell ref="B17:B18"/>
    <mergeCell ref="C17:C18"/>
    <mergeCell ref="C4:C6"/>
    <mergeCell ref="B4:B6"/>
  </mergeCells>
  <hyperlinks>
    <hyperlink ref="B32" r:id="rId1" xr:uid="{2320272A-11FB-46CA-A102-4DEE9455A78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E75F-2962-4B0A-9B6D-C3504F6B58A3}">
  <dimension ref="A2:R196"/>
  <sheetViews>
    <sheetView topLeftCell="A169" zoomScale="55" zoomScaleNormal="55" workbookViewId="0">
      <selection activeCell="C174" sqref="C174:C181"/>
    </sheetView>
  </sheetViews>
  <sheetFormatPr baseColWidth="10" defaultRowHeight="13.8"/>
  <cols>
    <col min="1" max="1" width="52.109375" style="3" customWidth="1"/>
    <col min="2" max="2" width="35.109375" style="3" customWidth="1"/>
    <col min="3" max="3" width="27.5546875" style="3" customWidth="1"/>
    <col min="4" max="4" width="15.33203125" style="3" customWidth="1"/>
    <col min="5" max="6" width="14.5546875" style="3" bestFit="1" customWidth="1"/>
    <col min="7" max="7" width="15.5546875" style="3" bestFit="1" customWidth="1"/>
    <col min="8" max="9" width="14.33203125" style="3" bestFit="1" customWidth="1"/>
    <col min="10" max="10" width="14.6640625" style="3" bestFit="1" customWidth="1"/>
    <col min="11" max="11" width="14.33203125" style="3" bestFit="1" customWidth="1"/>
    <col min="12" max="12" width="14.6640625" style="3" bestFit="1" customWidth="1"/>
    <col min="13" max="13" width="14.5546875" style="3" bestFit="1" customWidth="1"/>
    <col min="14" max="14" width="13.77734375" style="3" bestFit="1" customWidth="1"/>
    <col min="15" max="15" width="14.6640625" style="3" bestFit="1" customWidth="1"/>
    <col min="16" max="16" width="14.33203125" style="3" bestFit="1" customWidth="1"/>
    <col min="17" max="18" width="14" style="3" bestFit="1" customWidth="1"/>
    <col min="19" max="16384" width="11.5546875" style="3"/>
  </cols>
  <sheetData>
    <row r="2" spans="1:18" ht="14.4" thickBot="1">
      <c r="A2" s="1" t="s">
        <v>167</v>
      </c>
    </row>
    <row r="3" spans="1:18">
      <c r="B3" s="4" t="s">
        <v>20</v>
      </c>
      <c r="C3" s="4" t="s">
        <v>21</v>
      </c>
      <c r="D3" s="4" t="s">
        <v>22</v>
      </c>
      <c r="E3" s="4">
        <v>2010</v>
      </c>
      <c r="F3" s="4">
        <v>2011</v>
      </c>
      <c r="G3" s="4">
        <v>2012</v>
      </c>
      <c r="H3" s="4">
        <v>2013</v>
      </c>
      <c r="I3" s="4">
        <v>2014</v>
      </c>
      <c r="J3" s="4">
        <v>2015</v>
      </c>
      <c r="K3" s="4">
        <v>2016</v>
      </c>
      <c r="L3" s="4">
        <v>2017</v>
      </c>
      <c r="M3" s="4">
        <v>2018</v>
      </c>
      <c r="N3" s="4">
        <v>2019</v>
      </c>
      <c r="O3" s="4">
        <v>2020</v>
      </c>
      <c r="P3" s="4">
        <v>2021</v>
      </c>
      <c r="Q3" s="4">
        <v>2022</v>
      </c>
      <c r="R3" s="4">
        <v>2023</v>
      </c>
    </row>
    <row r="4" spans="1:18" ht="14.4" customHeight="1">
      <c r="A4" s="48" t="s">
        <v>168</v>
      </c>
      <c r="B4" s="357" t="s">
        <v>169</v>
      </c>
      <c r="C4" s="344" t="s">
        <v>170</v>
      </c>
      <c r="D4" s="67" t="s">
        <v>171</v>
      </c>
      <c r="E4" s="68">
        <v>22371.24463828517</v>
      </c>
      <c r="F4" s="68">
        <v>20080.99140354745</v>
      </c>
      <c r="G4" s="68">
        <v>27135.69647553315</v>
      </c>
      <c r="H4" s="68">
        <v>15548.062687921059</v>
      </c>
      <c r="I4" s="68">
        <v>17889.036451603759</v>
      </c>
      <c r="J4" s="68">
        <v>15147.57363559397</v>
      </c>
      <c r="K4" s="68">
        <v>16019.674710431929</v>
      </c>
      <c r="L4" s="68">
        <v>17070.749658135632</v>
      </c>
      <c r="M4" s="68">
        <v>12295.548970670519</v>
      </c>
      <c r="N4" s="68">
        <v>13720.37104811365</v>
      </c>
      <c r="O4" s="68">
        <v>9691.6371940264471</v>
      </c>
      <c r="P4" s="68">
        <v>9967.4954482131488</v>
      </c>
      <c r="Q4" s="68">
        <v>8031.578912841981</v>
      </c>
      <c r="R4" s="68">
        <v>5728.704837330406</v>
      </c>
    </row>
    <row r="5" spans="1:18">
      <c r="A5" s="48" t="s">
        <v>172</v>
      </c>
      <c r="B5" s="357"/>
      <c r="C5" s="344"/>
      <c r="D5" s="67" t="s">
        <v>112</v>
      </c>
      <c r="E5" s="69">
        <v>2.8000000000000001E-2</v>
      </c>
      <c r="F5" s="69">
        <v>2.5000000000000001E-2</v>
      </c>
      <c r="G5" s="69">
        <v>3.4000000000000002E-2</v>
      </c>
      <c r="H5" s="69">
        <v>0.02</v>
      </c>
      <c r="I5" s="69">
        <v>2.3E-2</v>
      </c>
      <c r="J5" s="69">
        <v>1.9E-2</v>
      </c>
      <c r="K5" s="69">
        <v>0.02</v>
      </c>
      <c r="L5" s="69">
        <v>2.1999999999999999E-2</v>
      </c>
      <c r="M5" s="69">
        <v>1.6E-2</v>
      </c>
      <c r="N5" s="69">
        <v>1.7000000000000001E-2</v>
      </c>
      <c r="O5" s="69">
        <v>1.2E-2</v>
      </c>
      <c r="P5" s="69">
        <v>1.2999999999999999E-2</v>
      </c>
      <c r="Q5" s="69">
        <v>0.01</v>
      </c>
      <c r="R5" s="69">
        <v>7.1999999999999998E-3</v>
      </c>
    </row>
    <row r="8" spans="1:18" ht="14.4" thickBot="1">
      <c r="A8" s="1" t="s">
        <v>173</v>
      </c>
    </row>
    <row r="9" spans="1:18">
      <c r="B9" s="4" t="s">
        <v>20</v>
      </c>
      <c r="C9" s="4" t="s">
        <v>21</v>
      </c>
      <c r="D9" s="4" t="s">
        <v>22</v>
      </c>
      <c r="E9" s="4">
        <v>2010</v>
      </c>
      <c r="F9" s="4">
        <v>2011</v>
      </c>
      <c r="G9" s="4">
        <v>2012</v>
      </c>
      <c r="H9" s="4">
        <v>2013</v>
      </c>
      <c r="I9" s="4">
        <v>2014</v>
      </c>
      <c r="J9" s="4">
        <v>2015</v>
      </c>
      <c r="K9" s="4">
        <v>2016</v>
      </c>
      <c r="L9" s="4">
        <v>2017</v>
      </c>
      <c r="M9" s="4">
        <v>2018</v>
      </c>
      <c r="N9" s="4">
        <v>2019</v>
      </c>
      <c r="O9" s="4">
        <v>2020</v>
      </c>
      <c r="P9" s="4">
        <v>2021</v>
      </c>
      <c r="Q9" s="4">
        <v>2022</v>
      </c>
      <c r="R9" s="4">
        <v>2023</v>
      </c>
    </row>
    <row r="10" spans="1:18" ht="13.8" customHeight="1">
      <c r="A10" s="5" t="s">
        <v>174</v>
      </c>
      <c r="B10" s="357" t="s">
        <v>169</v>
      </c>
      <c r="C10" s="358" t="s">
        <v>175</v>
      </c>
      <c r="D10" s="67" t="s">
        <v>176</v>
      </c>
      <c r="E10" s="69">
        <v>16.637398213797699</v>
      </c>
      <c r="F10" s="69">
        <v>15.18751459720208</v>
      </c>
      <c r="G10" s="69">
        <v>21.099297461967641</v>
      </c>
      <c r="H10" s="69">
        <v>12.011640565660461</v>
      </c>
      <c r="I10" s="69">
        <v>14.61360235058237</v>
      </c>
      <c r="J10" s="69">
        <v>12.93741344553951</v>
      </c>
      <c r="K10" s="69">
        <v>14.163127726722641</v>
      </c>
      <c r="L10" s="69">
        <v>15.420429378944199</v>
      </c>
      <c r="M10" s="69">
        <v>10.987502258769871</v>
      </c>
      <c r="N10" s="69">
        <v>11.18788112258793</v>
      </c>
      <c r="O10" s="69">
        <v>8.3734003119743203</v>
      </c>
      <c r="P10" s="69">
        <v>11.43409429164937</v>
      </c>
      <c r="Q10" s="69">
        <v>9.9241129893065771</v>
      </c>
      <c r="R10" s="69">
        <v>7.5613232258258032</v>
      </c>
    </row>
    <row r="11" spans="1:18">
      <c r="A11" s="5" t="s">
        <v>177</v>
      </c>
      <c r="B11" s="357"/>
      <c r="C11" s="358"/>
      <c r="D11" s="67" t="s">
        <v>176</v>
      </c>
      <c r="E11" s="69">
        <v>16.633040766621619</v>
      </c>
      <c r="F11" s="69">
        <v>15.18237905614459</v>
      </c>
      <c r="G11" s="69">
        <v>21.090231257834461</v>
      </c>
      <c r="H11" s="69">
        <v>12.010568109504961</v>
      </c>
      <c r="I11" s="69">
        <v>14.611284967642181</v>
      </c>
      <c r="J11" s="69">
        <v>12.92652516206876</v>
      </c>
      <c r="K11" s="69">
        <v>14.15864529483453</v>
      </c>
      <c r="L11" s="69">
        <v>15.41809038890757</v>
      </c>
      <c r="M11" s="69">
        <v>10.981572309325481</v>
      </c>
      <c r="N11" s="69">
        <v>11.18253572224128</v>
      </c>
      <c r="O11" s="69">
        <v>8.3724249075512809</v>
      </c>
      <c r="P11" s="69">
        <v>11.433030556243891</v>
      </c>
      <c r="Q11" s="69">
        <v>9.9229822769689733</v>
      </c>
      <c r="R11" s="69">
        <v>7.5602673013825141</v>
      </c>
    </row>
    <row r="12" spans="1:18">
      <c r="A12" s="5" t="s">
        <v>178</v>
      </c>
      <c r="B12" s="357"/>
      <c r="C12" s="358"/>
      <c r="D12" s="67" t="s">
        <v>176</v>
      </c>
      <c r="E12" s="70">
        <v>4.3574472278396902E-3</v>
      </c>
      <c r="F12" s="70">
        <v>5.135541042635269E-3</v>
      </c>
      <c r="G12" s="70">
        <v>9.0662041522775131E-3</v>
      </c>
      <c r="H12" s="70">
        <v>1.072456169023025E-3</v>
      </c>
      <c r="I12" s="70">
        <v>2.3173829432724391E-3</v>
      </c>
      <c r="J12" s="70">
        <v>1.088828353958003E-2</v>
      </c>
      <c r="K12" s="70">
        <v>4.4824318631437356E-3</v>
      </c>
      <c r="L12" s="70">
        <v>2.3389900239244072E-3</v>
      </c>
      <c r="M12" s="70">
        <v>5.9299494773703198E-3</v>
      </c>
      <c r="N12" s="70">
        <v>5.3454004344426851E-3</v>
      </c>
      <c r="O12" s="70">
        <v>9.7540440297388226E-4</v>
      </c>
      <c r="P12" s="70">
        <v>1.0637353875221499E-3</v>
      </c>
      <c r="Q12" s="70">
        <v>1.130712354139483E-3</v>
      </c>
      <c r="R12" s="70">
        <v>1.0559244166587459E-3</v>
      </c>
    </row>
    <row r="15" spans="1:18" ht="14.4" thickBot="1">
      <c r="A15" s="1" t="s">
        <v>179</v>
      </c>
    </row>
    <row r="16" spans="1:18">
      <c r="B16" s="4" t="s">
        <v>20</v>
      </c>
      <c r="C16" s="4" t="s">
        <v>21</v>
      </c>
      <c r="D16" s="4" t="s">
        <v>22</v>
      </c>
      <c r="E16" s="4">
        <v>2010</v>
      </c>
      <c r="F16" s="4">
        <v>2011</v>
      </c>
      <c r="G16" s="4">
        <v>2012</v>
      </c>
      <c r="H16" s="4">
        <v>2013</v>
      </c>
      <c r="I16" s="4">
        <v>2014</v>
      </c>
      <c r="J16" s="4">
        <v>2015</v>
      </c>
      <c r="K16" s="4">
        <v>2016</v>
      </c>
      <c r="L16" s="4">
        <v>2017</v>
      </c>
      <c r="M16" s="4">
        <v>2018</v>
      </c>
      <c r="N16" s="4">
        <v>2019</v>
      </c>
      <c r="O16" s="4">
        <v>2020</v>
      </c>
      <c r="P16" s="4">
        <v>2021</v>
      </c>
      <c r="Q16" s="4">
        <v>2022</v>
      </c>
      <c r="R16" s="4">
        <v>2023</v>
      </c>
    </row>
    <row r="17" spans="1:18">
      <c r="A17" s="5" t="s">
        <v>180</v>
      </c>
      <c r="B17" s="357" t="s">
        <v>181</v>
      </c>
      <c r="C17" s="344" t="s">
        <v>182</v>
      </c>
      <c r="D17" s="7" t="s">
        <v>183</v>
      </c>
      <c r="E17" s="7">
        <v>62792100</v>
      </c>
      <c r="F17" s="7">
        <v>62411477</v>
      </c>
      <c r="G17" s="7">
        <v>63108651</v>
      </c>
      <c r="H17" s="7">
        <v>61714303</v>
      </c>
      <c r="I17" s="7">
        <v>61365716</v>
      </c>
      <c r="J17" s="7">
        <v>61124900</v>
      </c>
      <c r="K17" s="7">
        <v>62553900</v>
      </c>
      <c r="L17" s="7">
        <v>63537400</v>
      </c>
      <c r="M17" s="7">
        <v>64139500</v>
      </c>
      <c r="N17" s="7">
        <v>65005400</v>
      </c>
      <c r="O17" s="7">
        <v>65694200</v>
      </c>
      <c r="P17" s="7">
        <v>65599200</v>
      </c>
      <c r="Q17" s="7">
        <v>65897346</v>
      </c>
      <c r="R17" s="7">
        <v>65897346</v>
      </c>
    </row>
    <row r="18" spans="1:18">
      <c r="A18" s="5" t="s">
        <v>184</v>
      </c>
      <c r="B18" s="357"/>
      <c r="C18" s="344"/>
      <c r="D18" s="7" t="s">
        <v>185</v>
      </c>
      <c r="E18" s="9">
        <v>17.349190867872604</v>
      </c>
      <c r="F18" s="9">
        <v>17.244026347563484</v>
      </c>
      <c r="G18" s="9">
        <v>17.436652566373148</v>
      </c>
      <c r="H18" s="9">
        <v>17.051400128753819</v>
      </c>
      <c r="I18" s="9">
        <v>16.955087019348991</v>
      </c>
      <c r="J18" s="9">
        <v>16.888550580082942</v>
      </c>
      <c r="K18" s="9">
        <v>17.283377218309564</v>
      </c>
      <c r="L18" s="9">
        <v>17.555114096333277</v>
      </c>
      <c r="M18" s="9">
        <v>17.721471772243877</v>
      </c>
      <c r="N18" s="9">
        <v>17.960716269123118</v>
      </c>
      <c r="O18" s="9">
        <v>18.151028787255026</v>
      </c>
      <c r="P18" s="9">
        <v>18.124780690242062</v>
      </c>
      <c r="Q18" s="9">
        <v>18.207157165316037</v>
      </c>
      <c r="R18" s="9">
        <v>18.207157165316037</v>
      </c>
    </row>
    <row r="21" spans="1:18" ht="14.4" thickBot="1">
      <c r="A21" s="1" t="s">
        <v>186</v>
      </c>
    </row>
    <row r="22" spans="1:18">
      <c r="B22" s="4" t="s">
        <v>20</v>
      </c>
      <c r="C22" s="4" t="s">
        <v>21</v>
      </c>
      <c r="D22" s="4" t="s">
        <v>22</v>
      </c>
      <c r="E22" s="4">
        <v>2010</v>
      </c>
      <c r="F22" s="4">
        <v>2011</v>
      </c>
      <c r="G22" s="4">
        <v>2012</v>
      </c>
      <c r="H22" s="4">
        <v>2013</v>
      </c>
      <c r="I22" s="4">
        <v>2014</v>
      </c>
      <c r="J22" s="4">
        <v>2015</v>
      </c>
      <c r="K22" s="4">
        <v>2016</v>
      </c>
      <c r="L22" s="4">
        <v>2017</v>
      </c>
      <c r="M22" s="4">
        <v>2018</v>
      </c>
      <c r="N22" s="4">
        <v>2019</v>
      </c>
      <c r="O22" s="4">
        <v>2020</v>
      </c>
      <c r="P22" s="4">
        <v>2021</v>
      </c>
      <c r="Q22" s="4">
        <v>2022</v>
      </c>
      <c r="R22" s="4">
        <v>2023</v>
      </c>
    </row>
    <row r="23" spans="1:18" ht="22.2" customHeight="1">
      <c r="A23" s="5" t="s">
        <v>187</v>
      </c>
      <c r="B23" s="357" t="s">
        <v>188</v>
      </c>
      <c r="C23" s="344" t="s">
        <v>189</v>
      </c>
      <c r="D23" s="151" t="s">
        <v>183</v>
      </c>
      <c r="E23" s="71">
        <v>16325946</v>
      </c>
      <c r="F23" s="71">
        <v>16226984.020000001</v>
      </c>
      <c r="G23" s="71">
        <v>16408249.26</v>
      </c>
      <c r="H23" s="71">
        <v>16045718.780000001</v>
      </c>
      <c r="I23" s="71">
        <v>15955086.16</v>
      </c>
      <c r="J23" s="71">
        <v>15892474</v>
      </c>
      <c r="K23" s="71">
        <v>16264014</v>
      </c>
      <c r="L23" s="71">
        <v>16519724</v>
      </c>
      <c r="M23" s="71">
        <v>16676270</v>
      </c>
      <c r="N23" s="71">
        <v>16901404</v>
      </c>
      <c r="O23" s="71">
        <v>17080492</v>
      </c>
      <c r="P23" s="71">
        <v>17055792</v>
      </c>
      <c r="Q23" s="71">
        <v>17133309.960000001</v>
      </c>
      <c r="R23" s="71">
        <v>17133309.960000001</v>
      </c>
    </row>
    <row r="24" spans="1:18" ht="22.8" customHeight="1">
      <c r="A24" s="5" t="s">
        <v>190</v>
      </c>
      <c r="B24" s="357"/>
      <c r="C24" s="344"/>
      <c r="D24" s="151" t="s">
        <v>185</v>
      </c>
      <c r="E24" s="19">
        <v>3.4698381735745212</v>
      </c>
      <c r="F24" s="19">
        <v>3.4488052695126967</v>
      </c>
      <c r="G24" s="19">
        <v>3.48733051327463</v>
      </c>
      <c r="H24" s="19">
        <v>3.4102800257507639</v>
      </c>
      <c r="I24" s="19">
        <v>3.3910174038697982</v>
      </c>
      <c r="J24" s="19">
        <v>3.3777101160165888</v>
      </c>
      <c r="K24" s="19">
        <v>3.4566754436619131</v>
      </c>
      <c r="L24" s="19">
        <v>3.5110228192666555</v>
      </c>
      <c r="M24" s="19">
        <v>3.5442943544487755</v>
      </c>
      <c r="N24" s="19">
        <v>3.5921432538246236</v>
      </c>
      <c r="O24" s="19">
        <v>3.6302057574510052</v>
      </c>
      <c r="P24" s="19">
        <v>3.6249561380484128</v>
      </c>
      <c r="Q24" s="19">
        <v>3.6414314330632074</v>
      </c>
      <c r="R24" s="19">
        <v>3.6414314330632074</v>
      </c>
    </row>
    <row r="27" spans="1:18" ht="14.4" thickBot="1">
      <c r="A27" s="1" t="s">
        <v>191</v>
      </c>
    </row>
    <row r="28" spans="1:18">
      <c r="B28" s="4" t="s">
        <v>20</v>
      </c>
      <c r="C28" s="4" t="s">
        <v>21</v>
      </c>
      <c r="D28" s="4" t="s">
        <v>22</v>
      </c>
      <c r="E28" s="4">
        <v>2010</v>
      </c>
      <c r="F28" s="4">
        <v>2011</v>
      </c>
      <c r="G28" s="4">
        <v>2012</v>
      </c>
      <c r="H28" s="4">
        <v>2013</v>
      </c>
      <c r="I28" s="4">
        <v>2014</v>
      </c>
      <c r="J28" s="4">
        <v>2015</v>
      </c>
      <c r="K28" s="4">
        <v>2016</v>
      </c>
      <c r="L28" s="4">
        <v>2017</v>
      </c>
      <c r="M28" s="4">
        <v>2018</v>
      </c>
      <c r="N28" s="4">
        <v>2019</v>
      </c>
      <c r="O28" s="4">
        <v>2020</v>
      </c>
      <c r="P28" s="4">
        <v>2021</v>
      </c>
      <c r="Q28" s="4">
        <v>2022</v>
      </c>
      <c r="R28" s="4">
        <v>2023</v>
      </c>
    </row>
    <row r="29" spans="1:18" s="43" customFormat="1" ht="22.2" customHeight="1">
      <c r="A29" s="5" t="s">
        <v>192</v>
      </c>
      <c r="B29" s="357" t="s">
        <v>181</v>
      </c>
      <c r="C29" s="345" t="s">
        <v>193</v>
      </c>
      <c r="D29" s="151" t="s">
        <v>183</v>
      </c>
      <c r="E29" s="71">
        <v>108316372.5</v>
      </c>
      <c r="F29" s="71">
        <v>107659797.825</v>
      </c>
      <c r="G29" s="71">
        <v>108862422.97500001</v>
      </c>
      <c r="H29" s="71">
        <v>106457172.67500001</v>
      </c>
      <c r="I29" s="71">
        <v>105855860.10000001</v>
      </c>
      <c r="J29" s="71">
        <v>105440452.5</v>
      </c>
      <c r="K29" s="71">
        <v>107905477.5</v>
      </c>
      <c r="L29" s="71">
        <v>109602015</v>
      </c>
      <c r="M29" s="71">
        <v>110640637.5</v>
      </c>
      <c r="N29" s="71">
        <v>112134315</v>
      </c>
      <c r="O29" s="71">
        <v>113322495</v>
      </c>
      <c r="P29" s="71">
        <v>113158620</v>
      </c>
      <c r="Q29" s="71">
        <v>113672921.85000001</v>
      </c>
      <c r="R29" s="71">
        <v>113672921.85000001</v>
      </c>
    </row>
    <row r="30" spans="1:18" s="43" customFormat="1" ht="22.8" customHeight="1">
      <c r="A30" s="5" t="s">
        <v>194</v>
      </c>
      <c r="B30" s="357"/>
      <c r="C30" s="345"/>
      <c r="D30" s="151" t="s">
        <v>185</v>
      </c>
      <c r="E30" s="19">
        <v>29.927354247080245</v>
      </c>
      <c r="F30" s="19">
        <v>29.745945449547012</v>
      </c>
      <c r="G30" s="19">
        <v>30.078225676993682</v>
      </c>
      <c r="H30" s="19">
        <v>29.413665222100338</v>
      </c>
      <c r="I30" s="19">
        <v>29.247525108377012</v>
      </c>
      <c r="J30" s="19">
        <v>29.132749750643075</v>
      </c>
      <c r="K30" s="19">
        <v>29.813825701584001</v>
      </c>
      <c r="L30" s="19">
        <v>30.282571816174904</v>
      </c>
      <c r="M30" s="19">
        <v>30.56953880712069</v>
      </c>
      <c r="N30" s="19">
        <v>30.982235564237381</v>
      </c>
      <c r="O30" s="19">
        <v>31.31052465801492</v>
      </c>
      <c r="P30" s="19">
        <v>31.26524669066756</v>
      </c>
      <c r="Q30" s="19">
        <v>31.407346110170167</v>
      </c>
      <c r="R30" s="19">
        <v>31.407346110170167</v>
      </c>
    </row>
    <row r="33" spans="1:8" ht="14.4" thickBot="1">
      <c r="A33" s="1" t="s">
        <v>195</v>
      </c>
    </row>
    <row r="34" spans="1:8">
      <c r="B34" s="4" t="s">
        <v>196</v>
      </c>
      <c r="C34" s="4" t="s">
        <v>20</v>
      </c>
      <c r="D34" s="4" t="s">
        <v>21</v>
      </c>
      <c r="E34" s="4" t="s">
        <v>22</v>
      </c>
      <c r="F34" s="4">
        <v>2010</v>
      </c>
      <c r="G34" s="4">
        <v>2017</v>
      </c>
      <c r="H34" s="4">
        <v>2020</v>
      </c>
    </row>
    <row r="35" spans="1:8">
      <c r="A35" s="388" t="s">
        <v>197</v>
      </c>
      <c r="B35" s="72" t="s">
        <v>198</v>
      </c>
      <c r="C35" s="390" t="s">
        <v>199</v>
      </c>
      <c r="D35" s="341" t="s">
        <v>200</v>
      </c>
      <c r="E35" s="377" t="s">
        <v>171</v>
      </c>
      <c r="F35" s="73">
        <v>1515.2999930000001</v>
      </c>
      <c r="G35" s="73">
        <v>1222.999998</v>
      </c>
      <c r="H35" s="73">
        <v>851.69998950000002</v>
      </c>
    </row>
    <row r="36" spans="1:8" ht="14.4" customHeight="1">
      <c r="A36" s="382"/>
      <c r="B36" s="72" t="s">
        <v>201</v>
      </c>
      <c r="C36" s="391"/>
      <c r="D36" s="339"/>
      <c r="E36" s="377"/>
      <c r="F36" s="73">
        <v>3431.7999920000002</v>
      </c>
      <c r="G36" s="73">
        <v>3258.0999980000001</v>
      </c>
      <c r="H36" s="73">
        <v>2024.6999745000001</v>
      </c>
    </row>
    <row r="37" spans="1:8" ht="14.4" customHeight="1">
      <c r="A37" s="382"/>
      <c r="B37" s="72" t="s">
        <v>202</v>
      </c>
      <c r="C37" s="391"/>
      <c r="D37" s="339"/>
      <c r="E37" s="377"/>
      <c r="F37" s="73">
        <v>972</v>
      </c>
      <c r="G37" s="73">
        <v>1201</v>
      </c>
      <c r="H37" s="73">
        <v>1588.9000512</v>
      </c>
    </row>
    <row r="38" spans="1:8" ht="14.4" customHeight="1">
      <c r="A38" s="382"/>
      <c r="B38" s="72" t="s">
        <v>203</v>
      </c>
      <c r="C38" s="391"/>
      <c r="D38" s="339"/>
      <c r="E38" s="377"/>
      <c r="F38" s="73">
        <v>202.90000090000001</v>
      </c>
      <c r="G38" s="74">
        <v>238.00000059999999</v>
      </c>
      <c r="H38" s="73">
        <v>2864.000031</v>
      </c>
    </row>
    <row r="39" spans="1:8" ht="14.4" customHeight="1">
      <c r="A39" s="382"/>
      <c r="B39" s="72" t="s">
        <v>204</v>
      </c>
      <c r="C39" s="391"/>
      <c r="D39" s="339"/>
      <c r="E39" s="377"/>
      <c r="F39" s="74">
        <v>439.69999969999998</v>
      </c>
      <c r="G39" s="74">
        <v>395.1000009</v>
      </c>
      <c r="H39" s="73">
        <v>1221.2000270000001</v>
      </c>
    </row>
    <row r="40" spans="1:8" ht="14.4" customHeight="1">
      <c r="A40" s="382"/>
      <c r="B40" s="72" t="s">
        <v>205</v>
      </c>
      <c r="C40" s="391"/>
      <c r="D40" s="339"/>
      <c r="E40" s="377"/>
      <c r="F40" s="73">
        <v>145.30000029999999</v>
      </c>
      <c r="G40" s="74">
        <v>113.8999999</v>
      </c>
      <c r="H40" s="73">
        <v>402.40000570000001</v>
      </c>
    </row>
    <row r="41" spans="1:8" ht="14.4" customHeight="1">
      <c r="A41" s="382"/>
      <c r="B41" s="72" t="s">
        <v>206</v>
      </c>
      <c r="C41" s="391"/>
      <c r="D41" s="339"/>
      <c r="E41" s="377"/>
      <c r="F41" s="73">
        <v>105426.2999</v>
      </c>
      <c r="G41" s="74">
        <v>100006.6</v>
      </c>
      <c r="H41" s="73">
        <v>80003.596999989997</v>
      </c>
    </row>
    <row r="42" spans="1:8" ht="14.4" customHeight="1">
      <c r="A42" s="382"/>
      <c r="B42" s="72" t="s">
        <v>207</v>
      </c>
      <c r="C42" s="391"/>
      <c r="D42" s="339"/>
      <c r="E42" s="377"/>
      <c r="F42" s="73">
        <v>190.70000010000001</v>
      </c>
      <c r="G42" s="73">
        <v>151.50000019999999</v>
      </c>
      <c r="H42" s="73">
        <v>152</v>
      </c>
    </row>
    <row r="43" spans="1:8" ht="14.4" customHeight="1">
      <c r="A43" s="382"/>
      <c r="B43" s="72" t="s">
        <v>208</v>
      </c>
      <c r="C43" s="391"/>
      <c r="D43" s="339"/>
      <c r="E43" s="377"/>
      <c r="F43" s="73">
        <v>12574.099990000001</v>
      </c>
      <c r="G43" s="73">
        <v>12999.09993</v>
      </c>
      <c r="H43" s="73">
        <v>3119.1999500000002</v>
      </c>
    </row>
    <row r="44" spans="1:8" ht="14.4" customHeight="1">
      <c r="A44" s="382"/>
      <c r="B44" s="72" t="s">
        <v>209</v>
      </c>
      <c r="C44" s="391"/>
      <c r="D44" s="339"/>
      <c r="E44" s="377"/>
      <c r="F44" s="73">
        <v>1933.800015</v>
      </c>
      <c r="G44" s="73">
        <v>1398.3</v>
      </c>
      <c r="H44" s="73">
        <v>547.50000560000001</v>
      </c>
    </row>
    <row r="45" spans="1:8" ht="14.4" customHeight="1">
      <c r="A45" s="382"/>
      <c r="B45" s="72" t="s">
        <v>210</v>
      </c>
      <c r="C45" s="391"/>
      <c r="D45" s="339"/>
      <c r="E45" s="377"/>
      <c r="F45" s="73">
        <v>816.00000379999994</v>
      </c>
      <c r="G45" s="73">
        <v>266.89999840000002</v>
      </c>
      <c r="H45" s="73">
        <v>0</v>
      </c>
    </row>
    <row r="46" spans="1:8" ht="14.4" customHeight="1">
      <c r="A46" s="382"/>
      <c r="B46" s="72" t="s">
        <v>211</v>
      </c>
      <c r="C46" s="391"/>
      <c r="D46" s="339"/>
      <c r="E46" s="377"/>
      <c r="F46" s="73">
        <v>436.19999960000001</v>
      </c>
      <c r="G46" s="74">
        <v>482.50000110000002</v>
      </c>
      <c r="H46" s="73">
        <v>446.5000028</v>
      </c>
    </row>
    <row r="47" spans="1:8" ht="14.4" customHeight="1">
      <c r="A47" s="382"/>
      <c r="B47" s="72" t="s">
        <v>212</v>
      </c>
      <c r="C47" s="391"/>
      <c r="D47" s="339"/>
      <c r="E47" s="377"/>
      <c r="F47" s="73">
        <v>362.10000120000001</v>
      </c>
      <c r="G47" s="73">
        <v>299.60000050000002</v>
      </c>
      <c r="H47" s="73">
        <v>298.79998790000002</v>
      </c>
    </row>
    <row r="48" spans="1:8" ht="14.4" customHeight="1">
      <c r="A48" s="382"/>
      <c r="B48" s="72" t="s">
        <v>213</v>
      </c>
      <c r="C48" s="391"/>
      <c r="D48" s="339"/>
      <c r="E48" s="377"/>
      <c r="F48" s="73">
        <v>6889.1000059999997</v>
      </c>
      <c r="G48" s="74">
        <v>3147.899993</v>
      </c>
      <c r="H48" s="73">
        <v>1838.900026</v>
      </c>
    </row>
    <row r="49" spans="1:8" ht="14.4" customHeight="1">
      <c r="A49" s="382"/>
      <c r="B49" s="72" t="s">
        <v>214</v>
      </c>
      <c r="C49" s="391"/>
      <c r="D49" s="339"/>
      <c r="E49" s="377"/>
      <c r="F49" s="73">
        <v>18447.5</v>
      </c>
      <c r="G49" s="73">
        <v>39133.600079999997</v>
      </c>
      <c r="H49" s="73">
        <v>23498.6001</v>
      </c>
    </row>
    <row r="50" spans="1:8" ht="14.4" customHeight="1">
      <c r="A50" s="382"/>
      <c r="B50" s="72" t="s">
        <v>215</v>
      </c>
      <c r="C50" s="391"/>
      <c r="D50" s="339"/>
      <c r="E50" s="377"/>
      <c r="F50" s="73">
        <v>2306.1999879999998</v>
      </c>
      <c r="G50" s="73">
        <v>1965.3000010000001</v>
      </c>
      <c r="H50" s="73">
        <v>15220.099976</v>
      </c>
    </row>
    <row r="51" spans="1:8" ht="14.4" customHeight="1">
      <c r="A51" s="382"/>
      <c r="B51" s="72" t="s">
        <v>216</v>
      </c>
      <c r="C51" s="391"/>
      <c r="D51" s="339"/>
      <c r="E51" s="377"/>
      <c r="F51" s="73">
        <v>3709.9999950000001</v>
      </c>
      <c r="G51" s="73">
        <v>2965.100007</v>
      </c>
      <c r="H51" s="73">
        <v>2589.3999441999999</v>
      </c>
    </row>
    <row r="52" spans="1:8" ht="14.4" customHeight="1">
      <c r="A52" s="382"/>
      <c r="B52" s="72" t="s">
        <v>217</v>
      </c>
      <c r="C52" s="391"/>
      <c r="D52" s="339"/>
      <c r="E52" s="377"/>
      <c r="F52" s="73">
        <v>380.00000030000001</v>
      </c>
      <c r="G52" s="74">
        <v>333.70000040000002</v>
      </c>
      <c r="H52" s="73">
        <v>661.5999984</v>
      </c>
    </row>
    <row r="53" spans="1:8" ht="14.4" customHeight="1">
      <c r="A53" s="382"/>
      <c r="B53" s="72" t="s">
        <v>218</v>
      </c>
      <c r="C53" s="391"/>
      <c r="D53" s="339"/>
      <c r="E53" s="377"/>
      <c r="F53" s="73">
        <v>817.99999890000004</v>
      </c>
      <c r="G53" s="73">
        <v>348.9000011</v>
      </c>
      <c r="H53" s="73">
        <v>212.40000527999999</v>
      </c>
    </row>
    <row r="54" spans="1:8" ht="14.4" customHeight="1">
      <c r="A54" s="382"/>
      <c r="B54" s="72" t="s">
        <v>219</v>
      </c>
      <c r="C54" s="391"/>
      <c r="D54" s="339"/>
      <c r="E54" s="377"/>
      <c r="F54" s="73">
        <v>124.8000005</v>
      </c>
      <c r="G54" s="73">
        <v>105.90000070000001</v>
      </c>
      <c r="H54" s="73">
        <v>138.0000019</v>
      </c>
    </row>
    <row r="55" spans="1:8" ht="14.4" customHeight="1">
      <c r="A55" s="382"/>
      <c r="B55" s="72" t="s">
        <v>220</v>
      </c>
      <c r="C55" s="391"/>
      <c r="D55" s="339"/>
      <c r="E55" s="377"/>
      <c r="F55" s="73">
        <v>40</v>
      </c>
      <c r="G55" s="73">
        <v>40</v>
      </c>
      <c r="H55" s="74">
        <v>39.700000490000001</v>
      </c>
    </row>
    <row r="56" spans="1:8" ht="14.4" customHeight="1" thickBot="1">
      <c r="A56" s="389"/>
      <c r="B56" s="75" t="s">
        <v>221</v>
      </c>
      <c r="C56" s="391"/>
      <c r="D56" s="339"/>
      <c r="E56" s="381"/>
      <c r="F56" s="76">
        <v>2216.5000070000001</v>
      </c>
      <c r="G56" s="76">
        <v>1548.5</v>
      </c>
      <c r="H56" s="77">
        <v>1315.7999824000001</v>
      </c>
    </row>
    <row r="57" spans="1:8" ht="15" customHeight="1" thickTop="1">
      <c r="A57" s="382" t="s">
        <v>222</v>
      </c>
      <c r="B57" s="78" t="s">
        <v>198</v>
      </c>
      <c r="C57" s="391"/>
      <c r="D57" s="339"/>
      <c r="E57" s="383" t="s">
        <v>183</v>
      </c>
      <c r="F57" s="79">
        <v>63755.700250000002</v>
      </c>
      <c r="G57" s="79">
        <v>65524.699509999999</v>
      </c>
      <c r="H57" s="80">
        <v>49440.800000000003</v>
      </c>
    </row>
    <row r="58" spans="1:8" ht="14.4" customHeight="1">
      <c r="A58" s="382"/>
      <c r="B58" s="72" t="s">
        <v>201</v>
      </c>
      <c r="C58" s="391"/>
      <c r="D58" s="339"/>
      <c r="E58" s="377"/>
      <c r="F58" s="71">
        <v>3669.7000050000001</v>
      </c>
      <c r="G58" s="71">
        <v>3811.5000020000002</v>
      </c>
      <c r="H58" s="71">
        <v>1032.399999</v>
      </c>
    </row>
    <row r="59" spans="1:8" ht="14.4" customHeight="1">
      <c r="A59" s="382"/>
      <c r="B59" s="72" t="s">
        <v>202</v>
      </c>
      <c r="C59" s="391"/>
      <c r="D59" s="339"/>
      <c r="E59" s="377"/>
      <c r="F59" s="71">
        <v>133091</v>
      </c>
      <c r="G59" s="71">
        <v>165342</v>
      </c>
      <c r="H59" s="71">
        <v>200549.49960000001</v>
      </c>
    </row>
    <row r="60" spans="1:8" ht="14.4" customHeight="1">
      <c r="A60" s="382"/>
      <c r="B60" s="72" t="s">
        <v>203</v>
      </c>
      <c r="C60" s="391"/>
      <c r="D60" s="339"/>
      <c r="E60" s="377"/>
      <c r="F60" s="71">
        <v>610.59999779999998</v>
      </c>
      <c r="G60" s="71">
        <v>802.30000170000005</v>
      </c>
      <c r="H60" s="71">
        <v>5389.7000010000002</v>
      </c>
    </row>
    <row r="61" spans="1:8" ht="14.4" customHeight="1">
      <c r="A61" s="382"/>
      <c r="B61" s="72" t="s">
        <v>204</v>
      </c>
      <c r="C61" s="391"/>
      <c r="D61" s="339"/>
      <c r="E61" s="377"/>
      <c r="F61" s="71">
        <v>199.9</v>
      </c>
      <c r="G61" s="71">
        <v>176.70000020000001</v>
      </c>
      <c r="H61" s="71">
        <v>285.7999987</v>
      </c>
    </row>
    <row r="62" spans="1:8" ht="14.4" customHeight="1">
      <c r="A62" s="382"/>
      <c r="B62" s="72" t="s">
        <v>205</v>
      </c>
      <c r="C62" s="391"/>
      <c r="D62" s="339"/>
      <c r="E62" s="377"/>
      <c r="F62" s="71">
        <v>216.4000005</v>
      </c>
      <c r="G62" s="71">
        <v>121.5000002</v>
      </c>
      <c r="H62" s="71">
        <v>1585.6999960000001</v>
      </c>
    </row>
    <row r="63" spans="1:8" ht="14.4" customHeight="1">
      <c r="A63" s="382"/>
      <c r="B63" s="72" t="s">
        <v>206</v>
      </c>
      <c r="C63" s="391"/>
      <c r="D63" s="339"/>
      <c r="E63" s="377"/>
      <c r="F63" s="71">
        <v>475574.5013</v>
      </c>
      <c r="G63" s="71">
        <v>546227.701</v>
      </c>
      <c r="H63" s="71">
        <v>35357.59996</v>
      </c>
    </row>
    <row r="64" spans="1:8" ht="14.4" customHeight="1">
      <c r="A64" s="382"/>
      <c r="B64" s="72" t="s">
        <v>207</v>
      </c>
      <c r="C64" s="391"/>
      <c r="D64" s="339"/>
      <c r="E64" s="377"/>
      <c r="F64" s="71">
        <v>403.49999989999998</v>
      </c>
      <c r="G64" s="71">
        <v>329.5999989</v>
      </c>
      <c r="H64" s="71">
        <v>36.900000380000002</v>
      </c>
    </row>
    <row r="65" spans="1:8" ht="14.4" customHeight="1">
      <c r="A65" s="382"/>
      <c r="B65" s="72" t="s">
        <v>208</v>
      </c>
      <c r="C65" s="391"/>
      <c r="D65" s="339"/>
      <c r="E65" s="377"/>
      <c r="F65" s="71">
        <v>395311.6</v>
      </c>
      <c r="G65" s="71">
        <v>468511.69910000003</v>
      </c>
      <c r="H65" s="71">
        <v>53265.20059</v>
      </c>
    </row>
    <row r="66" spans="1:8" ht="14.4" customHeight="1">
      <c r="A66" s="382"/>
      <c r="B66" s="72" t="s">
        <v>209</v>
      </c>
      <c r="C66" s="391"/>
      <c r="D66" s="339"/>
      <c r="E66" s="377"/>
      <c r="F66" s="71">
        <v>37917.300080000001</v>
      </c>
      <c r="G66" s="71">
        <v>26878.70004</v>
      </c>
      <c r="H66" s="71">
        <v>5924.9999989999997</v>
      </c>
    </row>
    <row r="67" spans="1:8" ht="14.4" customHeight="1">
      <c r="A67" s="382"/>
      <c r="B67" s="72" t="s">
        <v>210</v>
      </c>
      <c r="C67" s="391"/>
      <c r="D67" s="339"/>
      <c r="E67" s="377"/>
      <c r="F67" s="71">
        <v>397.6000009</v>
      </c>
      <c r="G67" s="71">
        <v>95.299999549999995</v>
      </c>
      <c r="H67" s="71">
        <v>0</v>
      </c>
    </row>
    <row r="68" spans="1:8" ht="14.4" customHeight="1">
      <c r="A68" s="382"/>
      <c r="B68" s="72" t="s">
        <v>211</v>
      </c>
      <c r="C68" s="391"/>
      <c r="D68" s="339"/>
      <c r="E68" s="377"/>
      <c r="F68" s="71">
        <v>19761.59995</v>
      </c>
      <c r="G68" s="71">
        <v>10608.699979999999</v>
      </c>
      <c r="H68" s="71">
        <v>600.49999479999997</v>
      </c>
    </row>
    <row r="69" spans="1:8" ht="14.4" customHeight="1">
      <c r="A69" s="382"/>
      <c r="B69" s="72" t="s">
        <v>212</v>
      </c>
      <c r="C69" s="391"/>
      <c r="D69" s="339"/>
      <c r="E69" s="377"/>
      <c r="F69" s="71">
        <v>490.09999800000003</v>
      </c>
      <c r="G69" s="71">
        <v>419.7999987</v>
      </c>
      <c r="H69" s="71">
        <v>1641.299996</v>
      </c>
    </row>
    <row r="70" spans="1:8" ht="14.4" customHeight="1">
      <c r="A70" s="382"/>
      <c r="B70" s="72" t="s">
        <v>213</v>
      </c>
      <c r="C70" s="391"/>
      <c r="D70" s="339"/>
      <c r="E70" s="377"/>
      <c r="F70" s="71">
        <v>15237.2</v>
      </c>
      <c r="G70" s="71">
        <v>7539.299994</v>
      </c>
      <c r="H70" s="71">
        <v>2024.5000030000001</v>
      </c>
    </row>
    <row r="71" spans="1:8" ht="14.4" customHeight="1">
      <c r="A71" s="382"/>
      <c r="B71" s="72" t="s">
        <v>214</v>
      </c>
      <c r="C71" s="391"/>
      <c r="D71" s="339"/>
      <c r="E71" s="377"/>
      <c r="F71" s="71">
        <v>30655.59993</v>
      </c>
      <c r="G71" s="71">
        <v>67537.700230000002</v>
      </c>
      <c r="H71" s="71">
        <v>5499.0000380000001</v>
      </c>
    </row>
    <row r="72" spans="1:8" ht="14.4" customHeight="1">
      <c r="A72" s="382"/>
      <c r="B72" s="72" t="s">
        <v>215</v>
      </c>
      <c r="C72" s="391"/>
      <c r="D72" s="339"/>
      <c r="E72" s="377"/>
      <c r="F72" s="71">
        <v>174915.29870000001</v>
      </c>
      <c r="G72" s="71">
        <v>201785.59849999999</v>
      </c>
      <c r="H72" s="71">
        <v>551575.30090000003</v>
      </c>
    </row>
    <row r="73" spans="1:8" ht="14.4" customHeight="1">
      <c r="A73" s="382"/>
      <c r="B73" s="72" t="s">
        <v>216</v>
      </c>
      <c r="C73" s="391"/>
      <c r="D73" s="339"/>
      <c r="E73" s="377"/>
      <c r="F73" s="71">
        <v>5447.8</v>
      </c>
      <c r="G73" s="71">
        <v>4505.0000049999999</v>
      </c>
      <c r="H73" s="71">
        <v>10723.8</v>
      </c>
    </row>
    <row r="74" spans="1:8" ht="14.4" customHeight="1">
      <c r="A74" s="382"/>
      <c r="B74" s="72" t="s">
        <v>217</v>
      </c>
      <c r="C74" s="391"/>
      <c r="D74" s="339"/>
      <c r="E74" s="377"/>
      <c r="F74" s="71">
        <v>1475.1000019999999</v>
      </c>
      <c r="G74" s="71">
        <v>1201.0000050000001</v>
      </c>
      <c r="H74" s="71">
        <v>18022.999950000001</v>
      </c>
    </row>
    <row r="75" spans="1:8" ht="14.4" customHeight="1">
      <c r="A75" s="382"/>
      <c r="B75" s="72" t="s">
        <v>218</v>
      </c>
      <c r="C75" s="391"/>
      <c r="D75" s="339"/>
      <c r="E75" s="377"/>
      <c r="F75" s="71">
        <v>29520.300090000001</v>
      </c>
      <c r="G75" s="71">
        <v>23207.599979999999</v>
      </c>
      <c r="H75" s="71">
        <v>20514.29983</v>
      </c>
    </row>
    <row r="76" spans="1:8" ht="14.4" customHeight="1">
      <c r="A76" s="382"/>
      <c r="B76" s="72" t="s">
        <v>219</v>
      </c>
      <c r="C76" s="391"/>
      <c r="D76" s="339"/>
      <c r="E76" s="377"/>
      <c r="F76" s="71">
        <v>246.8</v>
      </c>
      <c r="G76" s="71">
        <v>224.10000009999999</v>
      </c>
      <c r="H76" s="71">
        <v>409.69999730000001</v>
      </c>
    </row>
    <row r="77" spans="1:8" ht="14.4" customHeight="1">
      <c r="A77" s="382"/>
      <c r="B77" s="72" t="s">
        <v>220</v>
      </c>
      <c r="C77" s="391"/>
      <c r="D77" s="339"/>
      <c r="E77" s="377"/>
      <c r="F77" s="71">
        <v>2093.4999969999999</v>
      </c>
      <c r="G77" s="71">
        <v>2093.4999969999999</v>
      </c>
      <c r="H77" s="71">
        <v>2093.4999969999999</v>
      </c>
    </row>
    <row r="78" spans="1:8" ht="14.4" customHeight="1" thickBot="1">
      <c r="A78" s="382"/>
      <c r="B78" s="75" t="s">
        <v>221</v>
      </c>
      <c r="C78" s="391"/>
      <c r="D78" s="339"/>
      <c r="E78" s="384"/>
      <c r="F78" s="81">
        <v>6758.7000070000004</v>
      </c>
      <c r="G78" s="82">
        <v>6559.6999779999996</v>
      </c>
      <c r="H78" s="82">
        <v>13268.60008</v>
      </c>
    </row>
    <row r="79" spans="1:8" ht="15" customHeight="1" thickTop="1">
      <c r="A79" s="385" t="s">
        <v>223</v>
      </c>
      <c r="B79" s="78" t="s">
        <v>198</v>
      </c>
      <c r="C79" s="391"/>
      <c r="D79" s="339"/>
      <c r="E79" s="383" t="s">
        <v>185</v>
      </c>
      <c r="F79" s="83">
        <v>42.074639044758442</v>
      </c>
      <c r="G79" s="84">
        <v>53.577023399144757</v>
      </c>
      <c r="H79" s="84">
        <v>58.049548678549094</v>
      </c>
    </row>
    <row r="80" spans="1:8" ht="14.4" customHeight="1">
      <c r="A80" s="382"/>
      <c r="B80" s="72" t="s">
        <v>201</v>
      </c>
      <c r="C80" s="391"/>
      <c r="D80" s="339"/>
      <c r="E80" s="377"/>
      <c r="F80" s="19">
        <v>1.0693222255243831</v>
      </c>
      <c r="G80" s="19">
        <v>1.1698535969858836</v>
      </c>
      <c r="H80" s="19">
        <v>0.50990270756285816</v>
      </c>
    </row>
    <row r="81" spans="1:8" ht="14.4" customHeight="1">
      <c r="A81" s="382"/>
      <c r="B81" s="72" t="s">
        <v>202</v>
      </c>
      <c r="C81" s="391"/>
      <c r="D81" s="339"/>
      <c r="E81" s="377"/>
      <c r="F81" s="19">
        <v>136.92489711934155</v>
      </c>
      <c r="G81" s="19">
        <v>137.67027477102414</v>
      </c>
      <c r="H81" s="19">
        <v>126.21907806506591</v>
      </c>
    </row>
    <row r="82" spans="1:8" ht="14.4" customHeight="1">
      <c r="A82" s="382"/>
      <c r="B82" s="72" t="s">
        <v>203</v>
      </c>
      <c r="C82" s="391"/>
      <c r="D82" s="339"/>
      <c r="E82" s="377"/>
      <c r="F82" s="19">
        <v>3.0093641946356442</v>
      </c>
      <c r="G82" s="19">
        <v>3.3710084020058613</v>
      </c>
      <c r="H82" s="19">
        <v>1.8818784715997792</v>
      </c>
    </row>
    <row r="83" spans="1:8" ht="14.4" customHeight="1">
      <c r="A83" s="382"/>
      <c r="B83" s="72" t="s">
        <v>204</v>
      </c>
      <c r="C83" s="391"/>
      <c r="D83" s="339"/>
      <c r="E83" s="377"/>
      <c r="F83" s="19">
        <v>0.4546281558707948</v>
      </c>
      <c r="G83" s="19">
        <v>0.44722854922170163</v>
      </c>
      <c r="H83" s="19">
        <v>0.2340320933353533</v>
      </c>
    </row>
    <row r="84" spans="1:8" ht="14.4" customHeight="1">
      <c r="A84" s="382"/>
      <c r="B84" s="72" t="s">
        <v>205</v>
      </c>
      <c r="C84" s="391"/>
      <c r="D84" s="339"/>
      <c r="E84" s="377"/>
      <c r="F84" s="19">
        <v>1.4893324160578134</v>
      </c>
      <c r="G84" s="19">
        <v>1.0667252002341749</v>
      </c>
      <c r="H84" s="19">
        <v>3.9406062960699404</v>
      </c>
    </row>
    <row r="85" spans="1:8" ht="14.4" customHeight="1">
      <c r="A85" s="382"/>
      <c r="B85" s="72" t="s">
        <v>206</v>
      </c>
      <c r="C85" s="391"/>
      <c r="D85" s="339"/>
      <c r="E85" s="377"/>
      <c r="F85" s="19">
        <v>4.510966445290185</v>
      </c>
      <c r="G85" s="19">
        <v>5.4619165235094478</v>
      </c>
      <c r="H85" s="19">
        <v>0.44195012831741082</v>
      </c>
    </row>
    <row r="86" spans="1:8" ht="14.4" customHeight="1">
      <c r="A86" s="382"/>
      <c r="B86" s="72" t="s">
        <v>207</v>
      </c>
      <c r="C86" s="391"/>
      <c r="D86" s="339"/>
      <c r="E86" s="377"/>
      <c r="F86" s="19">
        <v>2.1158888289900948</v>
      </c>
      <c r="G86" s="19">
        <v>2.1755775476229999</v>
      </c>
      <c r="H86" s="19">
        <v>0.24276316039473686</v>
      </c>
    </row>
    <row r="87" spans="1:8" ht="14.4" customHeight="1">
      <c r="A87" s="382"/>
      <c r="B87" s="72" t="s">
        <v>208</v>
      </c>
      <c r="C87" s="391"/>
      <c r="D87" s="339"/>
      <c r="E87" s="377"/>
      <c r="F87" s="19">
        <v>31.438560240047842</v>
      </c>
      <c r="G87" s="19">
        <v>36.041856868777842</v>
      </c>
      <c r="H87" s="19">
        <v>17.076558554702466</v>
      </c>
    </row>
    <row r="88" spans="1:8" ht="14.4" customHeight="1">
      <c r="A88" s="382"/>
      <c r="B88" s="72" t="s">
        <v>209</v>
      </c>
      <c r="C88" s="391"/>
      <c r="D88" s="339"/>
      <c r="E88" s="377"/>
      <c r="F88" s="19">
        <v>19.607663556668243</v>
      </c>
      <c r="G88" s="19">
        <v>19.222412958592578</v>
      </c>
      <c r="H88" s="19">
        <v>10.821917695702759</v>
      </c>
    </row>
    <row r="89" spans="1:8" ht="14.4" customHeight="1">
      <c r="A89" s="382"/>
      <c r="B89" s="72" t="s">
        <v>210</v>
      </c>
      <c r="C89" s="391"/>
      <c r="D89" s="339"/>
      <c r="E89" s="377"/>
      <c r="F89" s="19">
        <v>0.48725490079464628</v>
      </c>
      <c r="G89" s="19">
        <v>0.35706257070550806</v>
      </c>
      <c r="H89" s="19">
        <v>0</v>
      </c>
    </row>
    <row r="90" spans="1:8" ht="14.4" customHeight="1">
      <c r="A90" s="382"/>
      <c r="B90" s="72" t="s">
        <v>211</v>
      </c>
      <c r="C90" s="391"/>
      <c r="D90" s="339"/>
      <c r="E90" s="377"/>
      <c r="F90" s="19">
        <v>45.303988922791369</v>
      </c>
      <c r="G90" s="19">
        <v>21.986942913604892</v>
      </c>
      <c r="H90" s="19">
        <v>1.3449047951495332</v>
      </c>
    </row>
    <row r="91" spans="1:8" ht="14.4" customHeight="1">
      <c r="A91" s="382"/>
      <c r="B91" s="72" t="s">
        <v>212</v>
      </c>
      <c r="C91" s="391"/>
      <c r="D91" s="339"/>
      <c r="E91" s="377"/>
      <c r="F91" s="19">
        <v>1.3534935000712727</v>
      </c>
      <c r="G91" s="19">
        <v>1.4012015954586086</v>
      </c>
      <c r="H91" s="19">
        <v>5.4929720966029523</v>
      </c>
    </row>
    <row r="92" spans="1:8" ht="14.4" customHeight="1">
      <c r="A92" s="382"/>
      <c r="B92" s="72" t="s">
        <v>213</v>
      </c>
      <c r="C92" s="391"/>
      <c r="D92" s="339"/>
      <c r="E92" s="377"/>
      <c r="F92" s="19">
        <v>2.2117838305046083</v>
      </c>
      <c r="G92" s="19">
        <v>2.3950252583516556</v>
      </c>
      <c r="H92" s="19">
        <v>1.1009298898122915</v>
      </c>
    </row>
    <row r="93" spans="1:8" ht="14.4" customHeight="1">
      <c r="A93" s="382"/>
      <c r="B93" s="72" t="s">
        <v>214</v>
      </c>
      <c r="C93" s="391"/>
      <c r="D93" s="339"/>
      <c r="E93" s="377"/>
      <c r="F93" s="19">
        <v>1.6617753045128065</v>
      </c>
      <c r="G93" s="19">
        <v>1.7258238468204843</v>
      </c>
      <c r="H93" s="19">
        <v>0.2340139418773291</v>
      </c>
    </row>
    <row r="94" spans="1:8" ht="14.4" customHeight="1">
      <c r="A94" s="382"/>
      <c r="B94" s="72" t="s">
        <v>215</v>
      </c>
      <c r="C94" s="391"/>
      <c r="D94" s="339"/>
      <c r="E94" s="377"/>
      <c r="F94" s="19">
        <v>75.845676701998158</v>
      </c>
      <c r="G94" s="19">
        <v>102.67419650807805</v>
      </c>
      <c r="H94" s="19">
        <v>36.239926266565803</v>
      </c>
    </row>
    <row r="95" spans="1:8" ht="14.4" customHeight="1">
      <c r="A95" s="382"/>
      <c r="B95" s="72" t="s">
        <v>216</v>
      </c>
      <c r="C95" s="391"/>
      <c r="D95" s="339"/>
      <c r="E95" s="377"/>
      <c r="F95" s="19">
        <v>1.4684097054830321</v>
      </c>
      <c r="G95" s="19">
        <v>1.5193416729164642</v>
      </c>
      <c r="H95" s="19">
        <v>4.1414228126559793</v>
      </c>
    </row>
    <row r="96" spans="1:8" ht="14.4" customHeight="1">
      <c r="A96" s="382"/>
      <c r="B96" s="72" t="s">
        <v>217</v>
      </c>
      <c r="C96" s="391"/>
      <c r="D96" s="339"/>
      <c r="E96" s="377"/>
      <c r="F96" s="19">
        <v>3.8818421074617033</v>
      </c>
      <c r="G96" s="19">
        <v>3.5990410655090908</v>
      </c>
      <c r="H96" s="19">
        <v>27.241535661406377</v>
      </c>
    </row>
    <row r="97" spans="1:8" ht="14.4" customHeight="1">
      <c r="A97" s="382"/>
      <c r="B97" s="72" t="s">
        <v>218</v>
      </c>
      <c r="C97" s="391"/>
      <c r="D97" s="339"/>
      <c r="E97" s="377"/>
      <c r="F97" s="19">
        <v>36.088386466622516</v>
      </c>
      <c r="G97" s="19">
        <v>66.516480099833402</v>
      </c>
      <c r="H97" s="19">
        <v>96.583330132015135</v>
      </c>
    </row>
    <row r="98" spans="1:8" ht="14.4" customHeight="1">
      <c r="A98" s="382"/>
      <c r="B98" s="72" t="s">
        <v>219</v>
      </c>
      <c r="C98" s="391"/>
      <c r="D98" s="339"/>
      <c r="E98" s="377"/>
      <c r="F98" s="19">
        <v>1.9775640946411694</v>
      </c>
      <c r="G98" s="19">
        <v>2.1161472957384024</v>
      </c>
      <c r="H98" s="19">
        <v>2.968840519269587</v>
      </c>
    </row>
    <row r="99" spans="1:8" ht="14.4" customHeight="1">
      <c r="A99" s="382"/>
      <c r="B99" s="72" t="s">
        <v>220</v>
      </c>
      <c r="C99" s="391"/>
      <c r="D99" s="339"/>
      <c r="E99" s="377"/>
      <c r="F99" s="19">
        <v>52.337499924999996</v>
      </c>
      <c r="G99" s="19">
        <v>52.337499924999996</v>
      </c>
      <c r="H99" s="19">
        <v>52.732996754680897</v>
      </c>
    </row>
    <row r="100" spans="1:8" ht="14.4" customHeight="1" thickBot="1">
      <c r="A100" s="386"/>
      <c r="B100" s="85" t="s">
        <v>221</v>
      </c>
      <c r="C100" s="392"/>
      <c r="D100" s="380"/>
      <c r="E100" s="387"/>
      <c r="F100" s="86">
        <v>3.0492668556982321</v>
      </c>
      <c r="G100" s="86">
        <v>4.2361640154988693</v>
      </c>
      <c r="H100" s="87">
        <v>10.08405552324014</v>
      </c>
    </row>
    <row r="101" spans="1:8" ht="14.4" thickTop="1">
      <c r="A101" s="88"/>
      <c r="H101" s="89"/>
    </row>
    <row r="103" spans="1:8" ht="14.4" thickBot="1">
      <c r="A103" s="1" t="s">
        <v>224</v>
      </c>
    </row>
    <row r="104" spans="1:8" ht="14.4" thickBot="1">
      <c r="B104" s="4" t="s">
        <v>196</v>
      </c>
      <c r="C104" s="4" t="s">
        <v>20</v>
      </c>
      <c r="D104" s="4" t="s">
        <v>21</v>
      </c>
      <c r="E104" s="4" t="s">
        <v>22</v>
      </c>
      <c r="F104" s="4">
        <v>2010</v>
      </c>
      <c r="G104" s="4">
        <v>2017</v>
      </c>
      <c r="H104" s="4">
        <v>2020</v>
      </c>
    </row>
    <row r="105" spans="1:8" ht="15" thickTop="1" thickBot="1">
      <c r="A105" s="356" t="s">
        <v>197</v>
      </c>
      <c r="B105" s="90" t="s">
        <v>201</v>
      </c>
      <c r="C105" s="342" t="s">
        <v>199</v>
      </c>
      <c r="D105" s="345" t="s">
        <v>225</v>
      </c>
      <c r="E105" s="377" t="s">
        <v>171</v>
      </c>
      <c r="F105" s="71">
        <v>414.1999993</v>
      </c>
      <c r="G105" s="71">
        <v>474.10000220000001</v>
      </c>
      <c r="H105" s="71">
        <v>764.80000299999995</v>
      </c>
    </row>
    <row r="106" spans="1:8" ht="15.6" customHeight="1" thickTop="1" thickBot="1">
      <c r="A106" s="356"/>
      <c r="B106" s="90" t="s">
        <v>203</v>
      </c>
      <c r="C106" s="342"/>
      <c r="D106" s="345"/>
      <c r="E106" s="377"/>
      <c r="F106" s="71">
        <v>375</v>
      </c>
      <c r="G106" s="71">
        <v>1293.600013</v>
      </c>
      <c r="H106" s="71">
        <v>4829.5002439999998</v>
      </c>
    </row>
    <row r="107" spans="1:8" ht="15.6" customHeight="1" thickTop="1" thickBot="1">
      <c r="A107" s="356"/>
      <c r="B107" s="91" t="s">
        <v>205</v>
      </c>
      <c r="C107" s="342"/>
      <c r="D107" s="345"/>
      <c r="E107" s="377"/>
      <c r="F107" s="71">
        <v>238.4000006</v>
      </c>
      <c r="G107" s="71">
        <v>204.9999995</v>
      </c>
      <c r="H107" s="71">
        <v>97.200000799999998</v>
      </c>
    </row>
    <row r="108" spans="1:8" ht="15.6" customHeight="1" thickTop="1" thickBot="1">
      <c r="A108" s="356"/>
      <c r="B108" s="90" t="s">
        <v>206</v>
      </c>
      <c r="C108" s="342"/>
      <c r="D108" s="345"/>
      <c r="E108" s="377"/>
      <c r="F108" s="71">
        <v>12226.60003</v>
      </c>
      <c r="G108" s="71">
        <v>9672.4000070000002</v>
      </c>
      <c r="H108" s="71">
        <v>21823.5</v>
      </c>
    </row>
    <row r="109" spans="1:8" ht="15.6" customHeight="1" thickTop="1" thickBot="1">
      <c r="A109" s="356"/>
      <c r="B109" s="91" t="s">
        <v>226</v>
      </c>
      <c r="C109" s="342"/>
      <c r="D109" s="345"/>
      <c r="E109" s="377"/>
      <c r="F109" s="71">
        <v>2.0000000099999999</v>
      </c>
      <c r="G109" s="71">
        <v>4.4000000999999997</v>
      </c>
      <c r="H109" s="71">
        <v>0</v>
      </c>
    </row>
    <row r="110" spans="1:8" ht="15.6" customHeight="1" thickTop="1" thickBot="1">
      <c r="A110" s="356"/>
      <c r="B110" s="91" t="s">
        <v>227</v>
      </c>
      <c r="C110" s="342"/>
      <c r="D110" s="345"/>
      <c r="E110" s="377"/>
      <c r="F110" s="71">
        <v>28.600000309999999</v>
      </c>
      <c r="G110" s="71">
        <v>32.000000010000001</v>
      </c>
      <c r="H110" s="71">
        <v>1.00000007</v>
      </c>
    </row>
    <row r="111" spans="1:8" ht="15.6" customHeight="1" thickTop="1" thickBot="1">
      <c r="A111" s="356"/>
      <c r="B111" s="91" t="s">
        <v>207</v>
      </c>
      <c r="C111" s="342"/>
      <c r="D111" s="345"/>
      <c r="E111" s="377"/>
      <c r="F111" s="71">
        <v>140.49999990000001</v>
      </c>
      <c r="G111" s="71">
        <v>159.60000059999999</v>
      </c>
      <c r="H111" s="71">
        <v>99</v>
      </c>
    </row>
    <row r="112" spans="1:8" ht="15.6" customHeight="1" thickTop="1" thickBot="1">
      <c r="A112" s="356"/>
      <c r="B112" s="91" t="s">
        <v>213</v>
      </c>
      <c r="C112" s="342"/>
      <c r="D112" s="345"/>
      <c r="E112" s="377"/>
      <c r="F112" s="71">
        <v>161.89999929999999</v>
      </c>
      <c r="G112" s="71">
        <v>86.400000430000006</v>
      </c>
      <c r="H112" s="71">
        <v>272.10001720000002</v>
      </c>
    </row>
    <row r="113" spans="1:8" ht="15.6" customHeight="1" thickTop="1" thickBot="1">
      <c r="A113" s="356"/>
      <c r="B113" s="90" t="s">
        <v>214</v>
      </c>
      <c r="C113" s="342"/>
      <c r="D113" s="345"/>
      <c r="E113" s="377"/>
      <c r="F113" s="71">
        <v>2957.6000020000001</v>
      </c>
      <c r="G113" s="71">
        <v>6234.3000240000001</v>
      </c>
      <c r="H113" s="71">
        <v>18577.1001</v>
      </c>
    </row>
    <row r="114" spans="1:8" ht="15.6" customHeight="1" thickTop="1" thickBot="1">
      <c r="A114" s="356"/>
      <c r="B114" s="91" t="s">
        <v>215</v>
      </c>
      <c r="C114" s="342"/>
      <c r="D114" s="345"/>
      <c r="E114" s="377"/>
      <c r="F114" s="71">
        <v>13206.499970000001</v>
      </c>
      <c r="G114" s="71">
        <v>9669.2999729999992</v>
      </c>
      <c r="H114" s="71">
        <v>6195.3000499999998</v>
      </c>
    </row>
    <row r="115" spans="1:8" ht="15.6" customHeight="1" thickTop="1" thickBot="1">
      <c r="A115" s="356"/>
      <c r="B115" s="91" t="s">
        <v>216</v>
      </c>
      <c r="C115" s="342"/>
      <c r="D115" s="345"/>
      <c r="E115" s="377"/>
      <c r="F115" s="71">
        <v>1195.499996</v>
      </c>
      <c r="G115" s="71">
        <v>1463.0000030000001</v>
      </c>
      <c r="H115" s="71">
        <v>234.79999559999999</v>
      </c>
    </row>
    <row r="116" spans="1:8" ht="15.6" customHeight="1" thickTop="1" thickBot="1">
      <c r="A116" s="356"/>
      <c r="B116" s="91" t="s">
        <v>219</v>
      </c>
      <c r="C116" s="342"/>
      <c r="D116" s="345"/>
      <c r="E116" s="377"/>
      <c r="F116" s="71">
        <v>325.20000110000001</v>
      </c>
      <c r="G116" s="71">
        <v>407.6000004</v>
      </c>
      <c r="H116" s="71">
        <v>380.2000195</v>
      </c>
    </row>
    <row r="117" spans="1:8" ht="15.6" customHeight="1" thickTop="1" thickBot="1">
      <c r="A117" s="356"/>
      <c r="B117" s="91" t="s">
        <v>221</v>
      </c>
      <c r="C117" s="342"/>
      <c r="D117" s="345"/>
      <c r="E117" s="378"/>
      <c r="F117" s="92">
        <v>1105.999996</v>
      </c>
      <c r="G117" s="92">
        <v>817.29999439999995</v>
      </c>
      <c r="H117" s="92">
        <v>643.60000600000001</v>
      </c>
    </row>
    <row r="118" spans="1:8" ht="15.6" customHeight="1" thickTop="1" thickBot="1">
      <c r="A118" s="356" t="s">
        <v>222</v>
      </c>
      <c r="B118" s="93" t="s">
        <v>201</v>
      </c>
      <c r="C118" s="342"/>
      <c r="D118" s="345"/>
      <c r="E118" s="369" t="s">
        <v>183</v>
      </c>
      <c r="F118" s="80">
        <v>877.60000530000002</v>
      </c>
      <c r="G118" s="80">
        <v>1018.799999</v>
      </c>
      <c r="H118" s="80">
        <v>805.49999690000004</v>
      </c>
    </row>
    <row r="119" spans="1:8" ht="15.6" customHeight="1" thickTop="1" thickBot="1">
      <c r="A119" s="356"/>
      <c r="B119" s="90" t="s">
        <v>203</v>
      </c>
      <c r="C119" s="342"/>
      <c r="D119" s="345"/>
      <c r="E119" s="377"/>
      <c r="F119" s="71">
        <v>2497.4999950000001</v>
      </c>
      <c r="G119" s="71">
        <v>7536.6000190000004</v>
      </c>
      <c r="H119" s="71">
        <v>16728.200199999999</v>
      </c>
    </row>
    <row r="120" spans="1:8" ht="15.6" customHeight="1" thickTop="1" thickBot="1">
      <c r="A120" s="356"/>
      <c r="B120" s="91" t="s">
        <v>205</v>
      </c>
      <c r="C120" s="342"/>
      <c r="D120" s="345"/>
      <c r="E120" s="377"/>
      <c r="F120" s="71">
        <v>546.90000310000005</v>
      </c>
      <c r="G120" s="71">
        <v>365.69999630000001</v>
      </c>
      <c r="H120" s="71">
        <v>1585.6999960000001</v>
      </c>
    </row>
    <row r="121" spans="1:8" ht="15.6" customHeight="1" thickTop="1" thickBot="1">
      <c r="A121" s="356"/>
      <c r="B121" s="90" t="s">
        <v>206</v>
      </c>
      <c r="C121" s="342"/>
      <c r="D121" s="345"/>
      <c r="E121" s="377"/>
      <c r="F121" s="71">
        <v>90606.899749999997</v>
      </c>
      <c r="G121" s="71">
        <v>81829.099480000004</v>
      </c>
      <c r="H121" s="71">
        <v>16309.699930000001</v>
      </c>
    </row>
    <row r="122" spans="1:8" ht="15.6" customHeight="1" thickTop="1" thickBot="1">
      <c r="A122" s="356"/>
      <c r="B122" s="91" t="s">
        <v>226</v>
      </c>
      <c r="C122" s="342"/>
      <c r="D122" s="345"/>
      <c r="E122" s="377"/>
      <c r="F122" s="71">
        <v>5.4000000500000001</v>
      </c>
      <c r="G122" s="71">
        <v>6.79999983</v>
      </c>
      <c r="H122" s="71">
        <v>0</v>
      </c>
    </row>
    <row r="123" spans="1:8" ht="14.4" customHeight="1" thickTop="1" thickBot="1">
      <c r="A123" s="356"/>
      <c r="B123" s="91" t="s">
        <v>227</v>
      </c>
      <c r="C123" s="342"/>
      <c r="D123" s="345"/>
      <c r="E123" s="377"/>
      <c r="F123" s="94">
        <v>308.49999869999999</v>
      </c>
      <c r="G123" s="94">
        <v>387.20000240000002</v>
      </c>
      <c r="H123" s="94">
        <v>11.50000011</v>
      </c>
    </row>
    <row r="124" spans="1:8" ht="14.4" customHeight="1" thickTop="1" thickBot="1">
      <c r="A124" s="356"/>
      <c r="B124" s="91" t="s">
        <v>207</v>
      </c>
      <c r="C124" s="342"/>
      <c r="D124" s="345"/>
      <c r="E124" s="377"/>
      <c r="F124" s="94">
        <v>545.69999889999997</v>
      </c>
      <c r="G124" s="94">
        <v>682.40000169999996</v>
      </c>
      <c r="H124" s="94">
        <v>150.39999900000001</v>
      </c>
    </row>
    <row r="125" spans="1:8" ht="14.4" customHeight="1" thickTop="1" thickBot="1">
      <c r="A125" s="356"/>
      <c r="B125" s="91" t="s">
        <v>213</v>
      </c>
      <c r="C125" s="342"/>
      <c r="D125" s="345"/>
      <c r="E125" s="377"/>
      <c r="F125" s="94">
        <v>983.20000749999997</v>
      </c>
      <c r="G125" s="94">
        <v>566.80000129999996</v>
      </c>
      <c r="H125" s="94">
        <v>773.20000379999999</v>
      </c>
    </row>
    <row r="126" spans="1:8" ht="14.4" customHeight="1" thickTop="1" thickBot="1">
      <c r="A126" s="356"/>
      <c r="B126" s="90" t="s">
        <v>214</v>
      </c>
      <c r="C126" s="342"/>
      <c r="D126" s="345"/>
      <c r="E126" s="377"/>
      <c r="F126" s="94">
        <v>9116.0999900000006</v>
      </c>
      <c r="G126" s="94">
        <v>18942.899959999999</v>
      </c>
      <c r="H126" s="94">
        <v>17103.39993</v>
      </c>
    </row>
    <row r="127" spans="1:8" ht="14.4" customHeight="1" thickTop="1" thickBot="1">
      <c r="A127" s="356"/>
      <c r="B127" s="91" t="s">
        <v>215</v>
      </c>
      <c r="C127" s="342"/>
      <c r="D127" s="345"/>
      <c r="E127" s="377"/>
      <c r="F127" s="94">
        <v>1430950.794</v>
      </c>
      <c r="G127" s="94">
        <v>1429716.0009999999</v>
      </c>
      <c r="H127" s="94">
        <v>1230006.6950000001</v>
      </c>
    </row>
    <row r="128" spans="1:8" ht="14.4" customHeight="1" thickTop="1" thickBot="1">
      <c r="A128" s="356"/>
      <c r="B128" s="91" t="s">
        <v>216</v>
      </c>
      <c r="C128" s="342"/>
      <c r="D128" s="345"/>
      <c r="E128" s="377"/>
      <c r="F128" s="94">
        <v>3381.2000029999999</v>
      </c>
      <c r="G128" s="94">
        <v>3877.7999880000002</v>
      </c>
      <c r="H128" s="94">
        <v>5752.1000340000001</v>
      </c>
    </row>
    <row r="129" spans="1:8" ht="14.4" customHeight="1" thickTop="1" thickBot="1">
      <c r="A129" s="356"/>
      <c r="B129" s="91" t="s">
        <v>219</v>
      </c>
      <c r="C129" s="342"/>
      <c r="D129" s="345"/>
      <c r="E129" s="377"/>
      <c r="F129" s="94">
        <v>1191.1000019999999</v>
      </c>
      <c r="G129" s="94">
        <v>1612.799998</v>
      </c>
      <c r="H129" s="94">
        <v>2329.2999970000001</v>
      </c>
    </row>
    <row r="130" spans="1:8" ht="14.4" customHeight="1" thickTop="1" thickBot="1">
      <c r="A130" s="356"/>
      <c r="B130" s="91" t="s">
        <v>221</v>
      </c>
      <c r="C130" s="342"/>
      <c r="D130" s="345"/>
      <c r="E130" s="378"/>
      <c r="F130" s="95">
        <v>4852.8000279999997</v>
      </c>
      <c r="G130" s="95">
        <v>4182.3999899999999</v>
      </c>
      <c r="H130" s="95">
        <v>7512.8999940000003</v>
      </c>
    </row>
    <row r="131" spans="1:8" ht="15.6" customHeight="1" thickTop="1" thickBot="1">
      <c r="A131" s="356" t="s">
        <v>223</v>
      </c>
      <c r="B131" s="93" t="s">
        <v>201</v>
      </c>
      <c r="C131" s="342"/>
      <c r="D131" s="345"/>
      <c r="E131" s="369" t="s">
        <v>185</v>
      </c>
      <c r="F131" s="96">
        <v>2.1187832128999236</v>
      </c>
      <c r="G131" s="96">
        <v>2.1489137191993035</v>
      </c>
      <c r="H131" s="96">
        <v>1.0532165190119647</v>
      </c>
    </row>
    <row r="132" spans="1:8" ht="15" customHeight="1" thickTop="1" thickBot="1">
      <c r="A132" s="356"/>
      <c r="B132" s="90" t="s">
        <v>203</v>
      </c>
      <c r="C132" s="342"/>
      <c r="D132" s="345"/>
      <c r="E132" s="377"/>
      <c r="F132" s="9">
        <v>6.6599999866666666</v>
      </c>
      <c r="G132" s="9">
        <v>5.8260667464912901</v>
      </c>
      <c r="H132" s="9">
        <v>3.4637538782159756</v>
      </c>
    </row>
    <row r="133" spans="1:8" ht="14.4" customHeight="1" thickTop="1" thickBot="1">
      <c r="A133" s="356"/>
      <c r="B133" s="91" t="s">
        <v>205</v>
      </c>
      <c r="C133" s="342"/>
      <c r="D133" s="345"/>
      <c r="E133" s="377"/>
      <c r="F133" s="9">
        <v>2.2940436313908306</v>
      </c>
      <c r="G133" s="9">
        <v>1.7839024253265914</v>
      </c>
      <c r="H133" s="9">
        <v>16.313785832808346</v>
      </c>
    </row>
    <row r="134" spans="1:8" ht="14.4" customHeight="1" thickTop="1" thickBot="1">
      <c r="A134" s="356"/>
      <c r="B134" s="90" t="s">
        <v>206</v>
      </c>
      <c r="C134" s="342"/>
      <c r="D134" s="345"/>
      <c r="E134" s="377"/>
      <c r="F134" s="9">
        <v>7.4106374239511297</v>
      </c>
      <c r="G134" s="9">
        <v>8.4600615587423569</v>
      </c>
      <c r="H134" s="9">
        <v>0.74734574793227493</v>
      </c>
    </row>
    <row r="135" spans="1:8" ht="16.2" customHeight="1" thickTop="1" thickBot="1">
      <c r="A135" s="356"/>
      <c r="B135" s="91" t="s">
        <v>226</v>
      </c>
      <c r="C135" s="342"/>
      <c r="D135" s="345"/>
      <c r="E135" s="377"/>
      <c r="F135" s="19">
        <v>2.7000000114999998</v>
      </c>
      <c r="G135" s="19">
        <v>1.5454544716942167</v>
      </c>
      <c r="H135" s="19">
        <v>0</v>
      </c>
    </row>
    <row r="136" spans="1:8" ht="16.2" customHeight="1" thickTop="1" thickBot="1">
      <c r="A136" s="356"/>
      <c r="B136" s="91" t="s">
        <v>227</v>
      </c>
      <c r="C136" s="342"/>
      <c r="D136" s="345"/>
      <c r="E136" s="377"/>
      <c r="F136" s="19">
        <v>10.786713124339823</v>
      </c>
      <c r="G136" s="19">
        <v>12.10000007121875</v>
      </c>
      <c r="H136" s="19">
        <v>11.499999305000049</v>
      </c>
    </row>
    <row r="137" spans="1:8" ht="16.2" customHeight="1" thickTop="1" thickBot="1">
      <c r="A137" s="356"/>
      <c r="B137" s="91" t="s">
        <v>207</v>
      </c>
      <c r="C137" s="342"/>
      <c r="D137" s="345"/>
      <c r="E137" s="377"/>
      <c r="F137" s="19">
        <v>3.883985760059776</v>
      </c>
      <c r="G137" s="19">
        <v>4.2756892176352528</v>
      </c>
      <c r="H137" s="19">
        <v>1.5191919090909092</v>
      </c>
    </row>
    <row r="138" spans="1:8" ht="16.2" customHeight="1" thickTop="1" thickBot="1">
      <c r="A138" s="356"/>
      <c r="B138" s="91" t="s">
        <v>213</v>
      </c>
      <c r="C138" s="342"/>
      <c r="D138" s="345"/>
      <c r="E138" s="377"/>
      <c r="F138" s="19">
        <v>6.0728845691848008</v>
      </c>
      <c r="G138" s="19">
        <v>6.5601851675824108</v>
      </c>
      <c r="H138" s="19">
        <v>2.8416021864183838</v>
      </c>
    </row>
    <row r="139" spans="1:8" ht="16.2" customHeight="1" thickTop="1" thickBot="1">
      <c r="A139" s="356"/>
      <c r="B139" s="90" t="s">
        <v>214</v>
      </c>
      <c r="C139" s="342"/>
      <c r="D139" s="345"/>
      <c r="E139" s="377"/>
      <c r="F139" s="19">
        <v>3.0822626399227331</v>
      </c>
      <c r="G139" s="19">
        <v>3.0384966856064155</v>
      </c>
      <c r="H139" s="19">
        <v>0.92067114016358231</v>
      </c>
    </row>
    <row r="140" spans="1:8" ht="14.4" customHeight="1" thickTop="1" thickBot="1">
      <c r="A140" s="356"/>
      <c r="B140" s="91" t="s">
        <v>215</v>
      </c>
      <c r="C140" s="342"/>
      <c r="D140" s="345"/>
      <c r="E140" s="377"/>
      <c r="F140" s="9">
        <v>108.35200827248401</v>
      </c>
      <c r="G140" s="9">
        <v>147.86137621050722</v>
      </c>
      <c r="H140" s="9">
        <v>198.53868014027827</v>
      </c>
    </row>
    <row r="141" spans="1:8" ht="14.4" customHeight="1" thickTop="1" thickBot="1">
      <c r="A141" s="356"/>
      <c r="B141" s="91" t="s">
        <v>216</v>
      </c>
      <c r="C141" s="342"/>
      <c r="D141" s="345"/>
      <c r="E141" s="377"/>
      <c r="F141" s="9">
        <v>2.8282727012238316</v>
      </c>
      <c r="G141" s="9">
        <v>2.6505809843118642</v>
      </c>
      <c r="H141" s="9">
        <v>24.497871131987367</v>
      </c>
    </row>
    <row r="142" spans="1:8" ht="14.4" customHeight="1" thickTop="1" thickBot="1">
      <c r="A142" s="356"/>
      <c r="B142" s="91" t="s">
        <v>219</v>
      </c>
      <c r="C142" s="342"/>
      <c r="D142" s="345"/>
      <c r="E142" s="377"/>
      <c r="F142" s="9">
        <v>3.6626691204522257</v>
      </c>
      <c r="G142" s="9">
        <v>3.9568204033789787</v>
      </c>
      <c r="H142" s="9">
        <v>6.1265120398027753</v>
      </c>
    </row>
    <row r="143" spans="1:8" ht="14.4" customHeight="1" thickTop="1" thickBot="1">
      <c r="A143" s="356"/>
      <c r="B143" s="97" t="s">
        <v>221</v>
      </c>
      <c r="C143" s="375"/>
      <c r="D143" s="376"/>
      <c r="E143" s="379"/>
      <c r="F143" s="98">
        <v>4.3877034769898859</v>
      </c>
      <c r="G143" s="98">
        <v>5.1173375977695956</v>
      </c>
      <c r="H143" s="98">
        <v>11.673244132940544</v>
      </c>
    </row>
    <row r="144" spans="1:8" ht="14.4" thickTop="1">
      <c r="B144" s="99"/>
      <c r="C144" s="99"/>
    </row>
    <row r="146" spans="1:12" ht="14.4" thickBot="1">
      <c r="A146" s="1" t="s">
        <v>228</v>
      </c>
      <c r="D146" s="100"/>
    </row>
    <row r="147" spans="1:12" ht="14.4" thickBot="1">
      <c r="B147" s="4" t="s">
        <v>229</v>
      </c>
      <c r="C147" s="4" t="s">
        <v>230</v>
      </c>
      <c r="D147" s="101" t="s">
        <v>21</v>
      </c>
      <c r="E147" s="4" t="s">
        <v>22</v>
      </c>
      <c r="F147" s="4">
        <v>2016</v>
      </c>
      <c r="G147" s="4">
        <f t="shared" ref="G147:L147" si="0">F147+1</f>
        <v>2017</v>
      </c>
      <c r="H147" s="4">
        <f t="shared" si="0"/>
        <v>2018</v>
      </c>
      <c r="I147" s="4">
        <f t="shared" si="0"/>
        <v>2019</v>
      </c>
      <c r="J147" s="4">
        <f t="shared" si="0"/>
        <v>2020</v>
      </c>
      <c r="K147" s="4">
        <f t="shared" si="0"/>
        <v>2021</v>
      </c>
      <c r="L147" s="4">
        <f t="shared" si="0"/>
        <v>2022</v>
      </c>
    </row>
    <row r="148" spans="1:12" ht="22.2" customHeight="1">
      <c r="A148" s="359" t="s">
        <v>231</v>
      </c>
      <c r="B148" s="91" t="s">
        <v>232</v>
      </c>
      <c r="C148" s="362" t="s">
        <v>233</v>
      </c>
      <c r="D148" s="365" t="s">
        <v>234</v>
      </c>
      <c r="E148" s="368" t="s">
        <v>112</v>
      </c>
      <c r="F148" s="102">
        <v>6.3100000000000003E-2</v>
      </c>
      <c r="G148" s="102">
        <v>6.3E-2</v>
      </c>
      <c r="H148" s="102">
        <v>6.3100000000000003E-2</v>
      </c>
      <c r="I148" s="102">
        <v>6.3299999999999995E-2</v>
      </c>
      <c r="J148" s="102">
        <v>6.3200000000000006E-2</v>
      </c>
      <c r="K148" s="102">
        <v>6.3100000000000003E-2</v>
      </c>
      <c r="L148" s="102">
        <v>6.3E-2</v>
      </c>
    </row>
    <row r="149" spans="1:12" ht="24" customHeight="1">
      <c r="A149" s="360"/>
      <c r="B149" s="90" t="s">
        <v>235</v>
      </c>
      <c r="C149" s="363"/>
      <c r="D149" s="366"/>
      <c r="E149" s="368"/>
      <c r="F149" s="102">
        <v>8.5000000000000006E-3</v>
      </c>
      <c r="G149" s="102">
        <v>8.5000000000000006E-3</v>
      </c>
      <c r="H149" s="102">
        <v>8.5000000000000006E-3</v>
      </c>
      <c r="I149" s="102">
        <v>8.5000000000000006E-3</v>
      </c>
      <c r="J149" s="102">
        <v>8.5000000000000006E-3</v>
      </c>
      <c r="K149" s="102">
        <v>8.5000000000000006E-3</v>
      </c>
      <c r="L149" s="102">
        <v>8.5000000000000006E-3</v>
      </c>
    </row>
    <row r="150" spans="1:12" ht="26.4" customHeight="1">
      <c r="A150" s="360"/>
      <c r="B150" s="90" t="s">
        <v>236</v>
      </c>
      <c r="C150" s="363"/>
      <c r="D150" s="366"/>
      <c r="E150" s="368"/>
      <c r="F150" s="102">
        <v>8.3999999999999995E-3</v>
      </c>
      <c r="G150" s="102">
        <v>8.3999999999999995E-3</v>
      </c>
      <c r="H150" s="102">
        <v>8.3999999999999995E-3</v>
      </c>
      <c r="I150" s="102">
        <v>8.3999999999999995E-3</v>
      </c>
      <c r="J150" s="102">
        <v>8.3999999999999995E-3</v>
      </c>
      <c r="K150" s="102">
        <v>8.3999999999999995E-3</v>
      </c>
      <c r="L150" s="102">
        <v>8.3999999999999995E-3</v>
      </c>
    </row>
    <row r="151" spans="1:12" ht="26.4" customHeight="1" thickBot="1">
      <c r="A151" s="361"/>
      <c r="B151" s="103" t="s">
        <v>237</v>
      </c>
      <c r="C151" s="363"/>
      <c r="D151" s="366"/>
      <c r="E151" s="368"/>
      <c r="F151" s="104">
        <v>1.89E-2</v>
      </c>
      <c r="G151" s="104">
        <v>1.89E-2</v>
      </c>
      <c r="H151" s="104">
        <v>1.89E-2</v>
      </c>
      <c r="I151" s="104">
        <v>1.89E-2</v>
      </c>
      <c r="J151" s="104">
        <v>1.89E-2</v>
      </c>
      <c r="K151" s="104">
        <v>1.89E-2</v>
      </c>
      <c r="L151" s="104">
        <v>1.89E-2</v>
      </c>
    </row>
    <row r="152" spans="1:12" ht="31.8" customHeight="1" thickBot="1">
      <c r="A152" s="370" t="s">
        <v>238</v>
      </c>
      <c r="B152" s="105" t="s">
        <v>239</v>
      </c>
      <c r="C152" s="363"/>
      <c r="D152" s="366"/>
      <c r="E152" s="368"/>
      <c r="F152" s="106">
        <v>3.9300000000000002E-2</v>
      </c>
      <c r="G152" s="106">
        <v>3.9300000000000002E-2</v>
      </c>
      <c r="H152" s="106">
        <v>3.9300000000000002E-2</v>
      </c>
      <c r="I152" s="106">
        <v>3.9300000000000002E-2</v>
      </c>
      <c r="J152" s="106">
        <v>3.9300000000000002E-2</v>
      </c>
      <c r="K152" s="106">
        <v>3.9300000000000002E-2</v>
      </c>
      <c r="L152" s="106">
        <v>3.9300000000000002E-2</v>
      </c>
    </row>
    <row r="153" spans="1:12" ht="46.2" customHeight="1">
      <c r="A153" s="371"/>
      <c r="B153" s="107" t="s">
        <v>240</v>
      </c>
      <c r="C153" s="363"/>
      <c r="D153" s="366"/>
      <c r="E153" s="368"/>
      <c r="F153" s="102">
        <v>0.21110000000000001</v>
      </c>
      <c r="G153" s="102">
        <v>0.2112</v>
      </c>
      <c r="H153" s="102">
        <v>0.2097</v>
      </c>
      <c r="I153" s="102">
        <v>0.20860000000000001</v>
      </c>
      <c r="J153" s="102">
        <v>0.20829999999999999</v>
      </c>
      <c r="K153" s="102">
        <v>0.20860000000000001</v>
      </c>
      <c r="L153" s="102">
        <v>0.20789999999999997</v>
      </c>
    </row>
    <row r="154" spans="1:12" ht="32.4" customHeight="1" thickBot="1">
      <c r="A154" s="371"/>
      <c r="B154" s="108" t="s">
        <v>241</v>
      </c>
      <c r="C154" s="363"/>
      <c r="D154" s="366"/>
      <c r="E154" s="368"/>
      <c r="F154" s="102">
        <v>1.17E-2</v>
      </c>
      <c r="G154" s="102">
        <v>1.17E-2</v>
      </c>
      <c r="H154" s="102">
        <v>1.17E-2</v>
      </c>
      <c r="I154" s="102">
        <v>1.17E-2</v>
      </c>
      <c r="J154" s="102">
        <v>1.17E-2</v>
      </c>
      <c r="K154" s="102">
        <v>1.17E-2</v>
      </c>
      <c r="L154" s="102">
        <v>1.17E-2</v>
      </c>
    </row>
    <row r="155" spans="1:12" ht="43.2" customHeight="1" thickBot="1">
      <c r="A155" s="371"/>
      <c r="B155" s="108" t="s">
        <v>242</v>
      </c>
      <c r="C155" s="363"/>
      <c r="D155" s="366"/>
      <c r="E155" s="368"/>
      <c r="F155" s="102">
        <v>0</v>
      </c>
      <c r="G155" s="102">
        <v>0</v>
      </c>
      <c r="H155" s="102">
        <v>0</v>
      </c>
      <c r="I155" s="102">
        <v>0</v>
      </c>
      <c r="J155" s="102">
        <v>0</v>
      </c>
      <c r="K155" s="102">
        <v>0</v>
      </c>
      <c r="L155" s="102">
        <v>0</v>
      </c>
    </row>
    <row r="156" spans="1:12" ht="36.6" customHeight="1" thickBot="1">
      <c r="A156" s="372"/>
      <c r="B156" s="109" t="s">
        <v>243</v>
      </c>
      <c r="C156" s="363"/>
      <c r="D156" s="366"/>
      <c r="E156" s="368"/>
      <c r="F156" s="104">
        <v>4.0000000000000001E-3</v>
      </c>
      <c r="G156" s="104">
        <v>4.0000000000000001E-3</v>
      </c>
      <c r="H156" s="104">
        <v>4.0000000000000001E-3</v>
      </c>
      <c r="I156" s="104">
        <v>4.0000000000000001E-3</v>
      </c>
      <c r="J156" s="104">
        <v>4.0000000000000001E-3</v>
      </c>
      <c r="K156" s="104">
        <v>4.0000000000000001E-3</v>
      </c>
      <c r="L156" s="104">
        <v>4.0000000000000001E-3</v>
      </c>
    </row>
    <row r="157" spans="1:12" ht="31.8" customHeight="1" thickBot="1">
      <c r="A157" s="373" t="s">
        <v>244</v>
      </c>
      <c r="B157" s="105" t="s">
        <v>245</v>
      </c>
      <c r="C157" s="363"/>
      <c r="D157" s="366"/>
      <c r="E157" s="368"/>
      <c r="F157" s="106">
        <v>3.7000000000000002E-3</v>
      </c>
      <c r="G157" s="106">
        <v>3.7000000000000002E-3</v>
      </c>
      <c r="H157" s="106">
        <v>3.7000000000000002E-3</v>
      </c>
      <c r="I157" s="106">
        <v>3.7000000000000002E-3</v>
      </c>
      <c r="J157" s="106">
        <v>3.7000000000000002E-3</v>
      </c>
      <c r="K157" s="106">
        <v>3.7000000000000002E-3</v>
      </c>
      <c r="L157" s="106">
        <v>3.7000000000000002E-3</v>
      </c>
    </row>
    <row r="158" spans="1:12" ht="26.4" customHeight="1" thickBot="1">
      <c r="A158" s="374"/>
      <c r="B158" s="91" t="s">
        <v>246</v>
      </c>
      <c r="C158" s="363"/>
      <c r="D158" s="366"/>
      <c r="E158" s="368"/>
      <c r="F158" s="104">
        <v>0.2399</v>
      </c>
      <c r="G158" s="104">
        <v>0.2399</v>
      </c>
      <c r="H158" s="104">
        <v>0.2399</v>
      </c>
      <c r="I158" s="104">
        <v>0.2399</v>
      </c>
      <c r="J158" s="104">
        <v>0.2399</v>
      </c>
      <c r="K158" s="104">
        <v>0.2399</v>
      </c>
      <c r="L158" s="104">
        <v>0.2399</v>
      </c>
    </row>
    <row r="159" spans="1:12" ht="42.6" customHeight="1" thickBot="1">
      <c r="A159" s="110" t="s">
        <v>247</v>
      </c>
      <c r="B159" s="111" t="s">
        <v>248</v>
      </c>
      <c r="C159" s="363"/>
      <c r="D159" s="366"/>
      <c r="E159" s="368"/>
      <c r="F159" s="112">
        <v>6.4000000000000003E-3</v>
      </c>
      <c r="G159" s="112">
        <v>6.4000000000000003E-3</v>
      </c>
      <c r="H159" s="112">
        <v>6.4000000000000003E-3</v>
      </c>
      <c r="I159" s="112">
        <v>6.4000000000000003E-3</v>
      </c>
      <c r="J159" s="112">
        <v>6.4000000000000003E-3</v>
      </c>
      <c r="K159" s="112">
        <v>6.4000000000000003E-3</v>
      </c>
      <c r="L159" s="112">
        <v>6.4000000000000003E-3</v>
      </c>
    </row>
    <row r="160" spans="1:12" ht="24.6" customHeight="1" thickBot="1">
      <c r="A160" s="110" t="s">
        <v>249</v>
      </c>
      <c r="B160" s="113" t="s">
        <v>18</v>
      </c>
      <c r="C160" s="363"/>
      <c r="D160" s="366"/>
      <c r="E160" s="368"/>
      <c r="F160" s="114">
        <v>4.7000000000000002E-3</v>
      </c>
      <c r="G160" s="114">
        <v>4.7000000000000002E-3</v>
      </c>
      <c r="H160" s="114">
        <v>4.7000000000000002E-3</v>
      </c>
      <c r="I160" s="114">
        <v>4.7000000000000002E-3</v>
      </c>
      <c r="J160" s="114">
        <v>4.7000000000000002E-3</v>
      </c>
      <c r="K160" s="114">
        <v>4.7000000000000002E-3</v>
      </c>
      <c r="L160" s="114">
        <v>4.7000000000000002E-3</v>
      </c>
    </row>
    <row r="161" spans="1:18" ht="24" customHeight="1">
      <c r="A161" s="370" t="s">
        <v>250</v>
      </c>
      <c r="B161" s="115" t="s">
        <v>251</v>
      </c>
      <c r="C161" s="363"/>
      <c r="D161" s="366"/>
      <c r="E161" s="368"/>
      <c r="F161" s="106">
        <v>0.37140000000000001</v>
      </c>
      <c r="G161" s="106">
        <v>0.37130000000000002</v>
      </c>
      <c r="H161" s="106">
        <v>0.37140000000000001</v>
      </c>
      <c r="I161" s="106">
        <v>0.37179999999999996</v>
      </c>
      <c r="J161" s="106">
        <v>0.37159999999999999</v>
      </c>
      <c r="K161" s="106">
        <v>0.37109999999999999</v>
      </c>
      <c r="L161" s="106">
        <v>0.37119999999999997</v>
      </c>
    </row>
    <row r="162" spans="1:18" ht="21" customHeight="1" thickBot="1">
      <c r="A162" s="371"/>
      <c r="B162" s="108" t="s">
        <v>252</v>
      </c>
      <c r="C162" s="363"/>
      <c r="D162" s="366"/>
      <c r="E162" s="368"/>
      <c r="F162" s="102">
        <v>2.9999999999999997E-4</v>
      </c>
      <c r="G162" s="102">
        <v>2.9999999999999997E-4</v>
      </c>
      <c r="H162" s="102">
        <v>2.9999999999999997E-4</v>
      </c>
      <c r="I162" s="102">
        <v>2.9999999999999997E-4</v>
      </c>
      <c r="J162" s="102">
        <v>2.9999999999999997E-4</v>
      </c>
      <c r="K162" s="102">
        <v>2.9999999999999997E-4</v>
      </c>
      <c r="L162" s="102">
        <v>2.9999999999999997E-4</v>
      </c>
    </row>
    <row r="163" spans="1:18" ht="37.799999999999997" customHeight="1" thickBot="1">
      <c r="A163" s="371"/>
      <c r="B163" s="108" t="s">
        <v>253</v>
      </c>
      <c r="C163" s="363"/>
      <c r="D163" s="366"/>
      <c r="E163" s="368"/>
      <c r="F163" s="102">
        <v>2.0000000000000001E-4</v>
      </c>
      <c r="G163" s="102">
        <v>2.0000000000000001E-4</v>
      </c>
      <c r="H163" s="102">
        <v>2.0000000000000001E-4</v>
      </c>
      <c r="I163" s="102">
        <v>2.0000000000000001E-4</v>
      </c>
      <c r="J163" s="102">
        <v>2.0000000000000001E-4</v>
      </c>
      <c r="K163" s="102">
        <v>2.0000000000000001E-4</v>
      </c>
      <c r="L163" s="102">
        <v>2.0000000000000001E-4</v>
      </c>
    </row>
    <row r="164" spans="1:18" ht="24.6" customHeight="1" thickBot="1">
      <c r="A164" s="371"/>
      <c r="B164" s="108" t="s">
        <v>254</v>
      </c>
      <c r="C164" s="364"/>
      <c r="D164" s="367"/>
      <c r="E164" s="369"/>
      <c r="F164" s="102">
        <v>8.3999999999999995E-3</v>
      </c>
      <c r="G164" s="102">
        <v>8.3999999999999995E-3</v>
      </c>
      <c r="H164" s="102">
        <v>8.3999999999999995E-3</v>
      </c>
      <c r="I164" s="102">
        <v>8.3999999999999995E-3</v>
      </c>
      <c r="J164" s="102">
        <v>8.3999999999999995E-3</v>
      </c>
      <c r="K164" s="102">
        <v>8.3999999999999995E-3</v>
      </c>
      <c r="L164" s="102">
        <v>8.3999999999999995E-3</v>
      </c>
    </row>
    <row r="166" spans="1:18">
      <c r="D166" s="100"/>
    </row>
    <row r="167" spans="1:18" ht="14.4" thickBot="1">
      <c r="A167" s="160" t="s">
        <v>255</v>
      </c>
    </row>
    <row r="168" spans="1:18">
      <c r="B168" s="4" t="s">
        <v>20</v>
      </c>
      <c r="C168" s="4" t="s">
        <v>21</v>
      </c>
      <c r="D168" s="4" t="s">
        <v>22</v>
      </c>
      <c r="E168" s="4">
        <v>2010</v>
      </c>
      <c r="F168" s="4">
        <v>2011</v>
      </c>
      <c r="G168" s="4">
        <v>2012</v>
      </c>
      <c r="H168" s="4">
        <v>2013</v>
      </c>
      <c r="I168" s="4">
        <v>2014</v>
      </c>
      <c r="J168" s="4">
        <v>2015</v>
      </c>
      <c r="K168" s="4">
        <v>2016</v>
      </c>
      <c r="L168" s="4">
        <v>2017</v>
      </c>
      <c r="M168" s="4">
        <v>2018</v>
      </c>
      <c r="N168" s="4">
        <v>2019</v>
      </c>
      <c r="O168" s="4">
        <v>2020</v>
      </c>
      <c r="P168" s="4">
        <v>2021</v>
      </c>
      <c r="Q168" s="4">
        <v>2022</v>
      </c>
      <c r="R168" s="4">
        <v>2023</v>
      </c>
    </row>
    <row r="169" spans="1:18" ht="39" customHeight="1">
      <c r="A169" s="5" t="s">
        <v>255</v>
      </c>
      <c r="B169" s="152" t="s">
        <v>256</v>
      </c>
      <c r="C169" s="153" t="s">
        <v>257</v>
      </c>
      <c r="D169" s="153" t="s">
        <v>258</v>
      </c>
      <c r="E169" s="158">
        <v>100631.88289159999</v>
      </c>
      <c r="F169" s="158">
        <v>100127.00473790002</v>
      </c>
      <c r="G169" s="158">
        <v>99638.349483559999</v>
      </c>
      <c r="H169" s="158">
        <v>100130.31947036</v>
      </c>
      <c r="I169" s="158">
        <v>101190.14247424999</v>
      </c>
      <c r="J169" s="158">
        <v>96087.870183019986</v>
      </c>
      <c r="K169" s="158">
        <v>95482.167600599991</v>
      </c>
      <c r="L169" s="158">
        <v>96721.41520309</v>
      </c>
      <c r="M169" s="158">
        <v>92281.992582379986</v>
      </c>
      <c r="N169" s="158">
        <v>86364.512907019991</v>
      </c>
      <c r="O169" s="158">
        <v>86821.815576599998</v>
      </c>
      <c r="P169" s="158">
        <v>82081.99910732999</v>
      </c>
      <c r="Q169" s="158">
        <v>82366.219600790006</v>
      </c>
      <c r="R169" s="158">
        <v>82728.49053101</v>
      </c>
    </row>
    <row r="172" spans="1:18" ht="14.4" thickBot="1">
      <c r="A172" s="160" t="s">
        <v>259</v>
      </c>
    </row>
    <row r="173" spans="1:18" ht="14.4" thickBot="1">
      <c r="B173" s="234" t="s">
        <v>260</v>
      </c>
      <c r="C173" s="4" t="s">
        <v>20</v>
      </c>
      <c r="D173" s="4" t="s">
        <v>21</v>
      </c>
      <c r="E173" s="4" t="s">
        <v>22</v>
      </c>
      <c r="F173" s="4">
        <v>2010</v>
      </c>
      <c r="G173" s="4">
        <v>2015</v>
      </c>
      <c r="H173" s="4">
        <v>2020</v>
      </c>
    </row>
    <row r="174" spans="1:18" ht="15" thickTop="1" thickBot="1">
      <c r="A174" s="356" t="s">
        <v>259</v>
      </c>
      <c r="B174" s="120" t="s">
        <v>261</v>
      </c>
      <c r="C174" s="357" t="s">
        <v>262</v>
      </c>
      <c r="D174" s="358" t="s">
        <v>263</v>
      </c>
      <c r="E174" s="358" t="s">
        <v>264</v>
      </c>
      <c r="F174" s="235">
        <v>0</v>
      </c>
      <c r="G174" s="235">
        <v>0</v>
      </c>
      <c r="H174" s="235">
        <v>0</v>
      </c>
    </row>
    <row r="175" spans="1:18" ht="15" thickTop="1" thickBot="1">
      <c r="A175" s="356"/>
      <c r="B175" s="90" t="s">
        <v>265</v>
      </c>
      <c r="C175" s="357"/>
      <c r="D175" s="358"/>
      <c r="E175" s="358"/>
      <c r="F175" s="235">
        <v>775715.22758347017</v>
      </c>
      <c r="G175" s="235">
        <v>871451.89242570999</v>
      </c>
      <c r="H175" s="235">
        <v>899197.35152363929</v>
      </c>
    </row>
    <row r="176" spans="1:18" ht="15" thickTop="1" thickBot="1">
      <c r="A176" s="356"/>
      <c r="B176" s="91" t="s">
        <v>266</v>
      </c>
      <c r="C176" s="357"/>
      <c r="D176" s="358"/>
      <c r="E176" s="358"/>
      <c r="F176" s="235">
        <v>541417.09812762006</v>
      </c>
      <c r="G176" s="235">
        <v>477870.54214474006</v>
      </c>
      <c r="H176" s="235">
        <v>441232.7589656997</v>
      </c>
    </row>
    <row r="177" spans="1:8" ht="15" thickTop="1" thickBot="1">
      <c r="A177" s="356"/>
      <c r="B177" s="91" t="s">
        <v>267</v>
      </c>
      <c r="C177" s="357"/>
      <c r="D177" s="358"/>
      <c r="E177" s="358"/>
      <c r="F177" s="235">
        <v>9603.8394113999966</v>
      </c>
      <c r="G177" s="235">
        <v>15998.446036320011</v>
      </c>
      <c r="H177" s="235">
        <v>17635</v>
      </c>
    </row>
    <row r="178" spans="1:8" ht="15" thickTop="1" thickBot="1">
      <c r="A178" s="356"/>
      <c r="B178" s="90" t="s">
        <v>268</v>
      </c>
      <c r="C178" s="357"/>
      <c r="D178" s="358"/>
      <c r="E178" s="358"/>
      <c r="F178" s="235">
        <v>61187.191400399992</v>
      </c>
      <c r="G178" s="235">
        <v>64488.886577740028</v>
      </c>
      <c r="H178" s="235">
        <v>58087.768266060011</v>
      </c>
    </row>
    <row r="179" spans="1:8" ht="15" thickTop="1" thickBot="1">
      <c r="A179" s="356"/>
      <c r="B179" s="91" t="s">
        <v>269</v>
      </c>
      <c r="C179" s="357"/>
      <c r="D179" s="358"/>
      <c r="E179" s="358"/>
      <c r="F179" s="235">
        <v>552.48607205999986</v>
      </c>
      <c r="G179" s="235">
        <v>821.20614470000032</v>
      </c>
      <c r="H179" s="235">
        <v>1043</v>
      </c>
    </row>
    <row r="180" spans="1:8" ht="15" thickTop="1" thickBot="1">
      <c r="A180" s="356"/>
      <c r="B180" s="91" t="s">
        <v>270</v>
      </c>
      <c r="C180" s="357"/>
      <c r="D180" s="358"/>
      <c r="E180" s="358"/>
      <c r="F180" s="235">
        <v>21201.822431399996</v>
      </c>
      <c r="G180" s="235">
        <v>9122.983364529995</v>
      </c>
      <c r="H180" s="235">
        <v>8180.71546812</v>
      </c>
    </row>
    <row r="181" spans="1:8" ht="15" thickTop="1" thickBot="1">
      <c r="A181" s="356"/>
      <c r="B181" s="91" t="s">
        <v>271</v>
      </c>
      <c r="C181" s="357"/>
      <c r="D181" s="358"/>
      <c r="E181" s="358"/>
      <c r="F181" s="235">
        <v>371704.63772831991</v>
      </c>
      <c r="G181" s="235">
        <v>507941.23151405976</v>
      </c>
      <c r="H181" s="235">
        <v>473996.06826624012</v>
      </c>
    </row>
    <row r="182" spans="1:8" ht="14.4" thickTop="1"/>
    <row r="188" spans="1:8" ht="14.4" thickBot="1"/>
    <row r="189" spans="1:8">
      <c r="A189" s="16" t="s">
        <v>20</v>
      </c>
      <c r="B189" s="4" t="s">
        <v>47</v>
      </c>
    </row>
    <row r="190" spans="1:8">
      <c r="A190" s="146" t="s">
        <v>169</v>
      </c>
      <c r="B190" s="15" t="s">
        <v>272</v>
      </c>
    </row>
    <row r="191" spans="1:8" ht="55.2">
      <c r="A191" s="145" t="s">
        <v>273</v>
      </c>
      <c r="B191" s="15" t="s">
        <v>274</v>
      </c>
    </row>
    <row r="192" spans="1:8" ht="41.4">
      <c r="A192" s="145" t="s">
        <v>181</v>
      </c>
      <c r="B192" s="15" t="s">
        <v>275</v>
      </c>
    </row>
    <row r="193" spans="1:2">
      <c r="A193" s="145" t="s">
        <v>199</v>
      </c>
      <c r="B193" s="15" t="s">
        <v>276</v>
      </c>
    </row>
    <row r="194" spans="1:2" ht="41.4">
      <c r="A194" s="145" t="s">
        <v>233</v>
      </c>
      <c r="B194" s="15" t="s">
        <v>277</v>
      </c>
    </row>
    <row r="195" spans="1:2" ht="41.4">
      <c r="A195" s="145" t="s">
        <v>256</v>
      </c>
      <c r="B195" s="15" t="s">
        <v>278</v>
      </c>
    </row>
    <row r="196" spans="1:2" ht="27.6">
      <c r="A196" s="145" t="s">
        <v>279</v>
      </c>
      <c r="B196" s="15" t="s">
        <v>280</v>
      </c>
    </row>
  </sheetData>
  <mergeCells count="37">
    <mergeCell ref="B4:B5"/>
    <mergeCell ref="C4:C5"/>
    <mergeCell ref="B10:B12"/>
    <mergeCell ref="C10:C12"/>
    <mergeCell ref="B17:B18"/>
    <mergeCell ref="C17:C18"/>
    <mergeCell ref="B23:B24"/>
    <mergeCell ref="C23:C24"/>
    <mergeCell ref="B29:B30"/>
    <mergeCell ref="C29:C30"/>
    <mergeCell ref="A35:A56"/>
    <mergeCell ref="C35:C100"/>
    <mergeCell ref="D35:D100"/>
    <mergeCell ref="E35:E56"/>
    <mergeCell ref="A57:A78"/>
    <mergeCell ref="E57:E78"/>
    <mergeCell ref="A79:A100"/>
    <mergeCell ref="E79:E100"/>
    <mergeCell ref="A105:A117"/>
    <mergeCell ref="C105:C143"/>
    <mergeCell ref="D105:D143"/>
    <mergeCell ref="E105:E117"/>
    <mergeCell ref="A118:A130"/>
    <mergeCell ref="E118:E130"/>
    <mergeCell ref="A131:A143"/>
    <mergeCell ref="E131:E143"/>
    <mergeCell ref="A174:A181"/>
    <mergeCell ref="C174:C181"/>
    <mergeCell ref="D174:D181"/>
    <mergeCell ref="E174:E181"/>
    <mergeCell ref="A148:A151"/>
    <mergeCell ref="C148:C164"/>
    <mergeCell ref="D148:D164"/>
    <mergeCell ref="E148:E164"/>
    <mergeCell ref="A152:A156"/>
    <mergeCell ref="A157:A158"/>
    <mergeCell ref="A161:A164"/>
  </mergeCells>
  <hyperlinks>
    <hyperlink ref="B192" r:id="rId1" xr:uid="{612FB2B8-52DE-4694-91A3-C6C0EEAB8985}"/>
    <hyperlink ref="B196" r:id="rId2" xr:uid="{3165D99D-BE1C-4BCA-87C7-AD337514FF8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9FD1-2911-4040-BFC9-634CA29A8E26}">
  <dimension ref="A2:EV84"/>
  <sheetViews>
    <sheetView topLeftCell="A58" zoomScale="55" zoomScaleNormal="55" workbookViewId="0">
      <selection activeCell="G100" sqref="G100"/>
    </sheetView>
  </sheetViews>
  <sheetFormatPr baseColWidth="10" defaultColWidth="9.77734375" defaultRowHeight="13.8"/>
  <cols>
    <col min="1" max="1" width="57.109375" style="3" customWidth="1"/>
    <col min="2" max="2" width="39.5546875" style="154" bestFit="1" customWidth="1"/>
    <col min="3" max="3" width="21.21875" style="3" customWidth="1"/>
    <col min="4" max="9" width="19.33203125" style="3" customWidth="1"/>
    <col min="10" max="10" width="13.21875" style="3" customWidth="1"/>
    <col min="11" max="11" width="13" style="3" customWidth="1"/>
    <col min="12" max="14" width="10.21875" style="3" bestFit="1" customWidth="1"/>
    <col min="15" max="15" width="11.33203125" style="3" customWidth="1"/>
    <col min="16" max="17" width="13.44140625" style="3" bestFit="1" customWidth="1"/>
    <col min="18" max="16384" width="9.77734375" style="3"/>
  </cols>
  <sheetData>
    <row r="2" spans="1:152" ht="14.4" thickBot="1">
      <c r="A2" s="1" t="s">
        <v>281</v>
      </c>
    </row>
    <row r="3" spans="1:152">
      <c r="B3" s="4" t="s">
        <v>20</v>
      </c>
      <c r="C3" s="4" t="s">
        <v>21</v>
      </c>
      <c r="D3" s="4" t="s">
        <v>22</v>
      </c>
      <c r="E3" s="4">
        <v>2010</v>
      </c>
      <c r="F3" s="4">
        <v>2011</v>
      </c>
      <c r="G3" s="4">
        <v>2012</v>
      </c>
      <c r="H3" s="4">
        <v>2013</v>
      </c>
      <c r="I3" s="4">
        <v>2014</v>
      </c>
      <c r="J3" s="4">
        <v>2015</v>
      </c>
      <c r="K3" s="4">
        <v>2016</v>
      </c>
      <c r="L3" s="4">
        <v>2017</v>
      </c>
      <c r="M3" s="4">
        <v>2018</v>
      </c>
      <c r="N3" s="4">
        <v>2019</v>
      </c>
      <c r="O3" s="4">
        <v>2020</v>
      </c>
      <c r="P3" s="4">
        <v>2021</v>
      </c>
      <c r="Q3" s="4">
        <v>2022</v>
      </c>
    </row>
    <row r="4" spans="1:152" s="159" customFormat="1" ht="14.4">
      <c r="A4" s="5" t="s">
        <v>282</v>
      </c>
      <c r="B4" s="357" t="s">
        <v>283</v>
      </c>
      <c r="C4" s="396" t="s">
        <v>284</v>
      </c>
      <c r="D4" s="155" t="s">
        <v>285</v>
      </c>
      <c r="E4" s="156">
        <v>3448.2099999999991</v>
      </c>
      <c r="F4" s="157">
        <v>3458.3309999999983</v>
      </c>
      <c r="G4" s="157">
        <v>3468.4519999999939</v>
      </c>
      <c r="H4" s="158">
        <v>3452.1000000000004</v>
      </c>
      <c r="I4" s="158">
        <v>3542.8</v>
      </c>
      <c r="J4" s="158">
        <v>3486.2</v>
      </c>
      <c r="K4" s="158">
        <v>3491.6000000000004</v>
      </c>
      <c r="L4" s="158">
        <v>3513.7</v>
      </c>
      <c r="M4" s="158">
        <v>3549.7</v>
      </c>
      <c r="N4" s="158">
        <v>3532.8</v>
      </c>
      <c r="O4" s="158">
        <v>3215.8</v>
      </c>
      <c r="P4" s="158">
        <v>3341.1</v>
      </c>
      <c r="Q4" s="158">
        <v>3219.4</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row>
    <row r="5" spans="1:152" s="159" customFormat="1" ht="14.4">
      <c r="A5" s="5" t="s">
        <v>286</v>
      </c>
      <c r="B5" s="357"/>
      <c r="C5" s="396"/>
      <c r="D5" s="155" t="s">
        <v>285</v>
      </c>
      <c r="E5" s="156">
        <v>445.24300000000039</v>
      </c>
      <c r="F5" s="157">
        <v>451.8073000000004</v>
      </c>
      <c r="G5" s="157">
        <v>458.3716000000004</v>
      </c>
      <c r="H5" s="158">
        <v>461</v>
      </c>
      <c r="I5" s="158">
        <v>470.6</v>
      </c>
      <c r="J5" s="158">
        <v>482.5</v>
      </c>
      <c r="K5" s="158">
        <v>488</v>
      </c>
      <c r="L5" s="158">
        <v>491.3</v>
      </c>
      <c r="M5" s="158">
        <v>503.5</v>
      </c>
      <c r="N5" s="158">
        <v>497.4</v>
      </c>
      <c r="O5" s="158">
        <v>383.4</v>
      </c>
      <c r="P5" s="158">
        <v>420.3</v>
      </c>
      <c r="Q5" s="158">
        <v>468.9</v>
      </c>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row>
    <row r="6" spans="1:152" s="159" customFormat="1" ht="14.4">
      <c r="A6" s="5" t="s">
        <v>287</v>
      </c>
      <c r="B6" s="357"/>
      <c r="C6" s="396"/>
      <c r="D6" s="155" t="s">
        <v>285</v>
      </c>
      <c r="E6" s="156">
        <v>4350.3600000000006</v>
      </c>
      <c r="F6" s="157">
        <v>4405.2959999999985</v>
      </c>
      <c r="G6" s="157">
        <v>4460.232</v>
      </c>
      <c r="H6" s="158">
        <v>4510.2</v>
      </c>
      <c r="I6" s="158">
        <v>4565.8999999999996</v>
      </c>
      <c r="J6" s="158">
        <v>4626</v>
      </c>
      <c r="K6" s="158">
        <v>4691.1000000000004</v>
      </c>
      <c r="L6" s="158">
        <v>4735.3999999999996</v>
      </c>
      <c r="M6" s="158">
        <v>4796.7000000000007</v>
      </c>
      <c r="N6" s="158">
        <v>4832.6000000000004</v>
      </c>
      <c r="O6" s="158">
        <v>4752.5</v>
      </c>
      <c r="P6" s="158">
        <v>4990.2</v>
      </c>
      <c r="Q6" s="158">
        <v>5120</v>
      </c>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row>
    <row r="7" spans="1:152" s="159" customFormat="1" ht="14.4">
      <c r="A7" s="5" t="s">
        <v>288</v>
      </c>
      <c r="B7" s="357"/>
      <c r="C7" s="396"/>
      <c r="D7" s="155" t="s">
        <v>285</v>
      </c>
      <c r="E7" s="156">
        <v>210.89000000000306</v>
      </c>
      <c r="F7" s="157">
        <v>222.87900000000081</v>
      </c>
      <c r="G7" s="157">
        <v>234.86800000000221</v>
      </c>
      <c r="H7" s="158">
        <v>240.3</v>
      </c>
      <c r="I7" s="158">
        <v>265.5</v>
      </c>
      <c r="J7" s="158">
        <v>272.3</v>
      </c>
      <c r="K7" s="158">
        <v>267.3</v>
      </c>
      <c r="L7" s="158">
        <v>314.8</v>
      </c>
      <c r="M7" s="158">
        <v>322.7</v>
      </c>
      <c r="N7" s="158">
        <v>299.89999999999998</v>
      </c>
      <c r="O7" s="158">
        <v>378.8</v>
      </c>
      <c r="P7" s="158">
        <v>402.4</v>
      </c>
      <c r="Q7" s="158">
        <v>404.6</v>
      </c>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row>
    <row r="8" spans="1:152" s="159" customFormat="1" ht="14.4">
      <c r="A8" s="5" t="s">
        <v>289</v>
      </c>
      <c r="B8" s="357"/>
      <c r="C8" s="396"/>
      <c r="D8" s="155" t="s">
        <v>285</v>
      </c>
      <c r="E8" s="156">
        <v>964.99300000000039</v>
      </c>
      <c r="F8" s="157">
        <v>970.63230000000112</v>
      </c>
      <c r="G8" s="157">
        <v>976.27160000000003</v>
      </c>
      <c r="H8" s="158">
        <v>973.4</v>
      </c>
      <c r="I8" s="158">
        <v>985.4</v>
      </c>
      <c r="J8" s="158">
        <v>1006.1</v>
      </c>
      <c r="K8" s="158">
        <v>998.3</v>
      </c>
      <c r="L8" s="158">
        <v>1009.9</v>
      </c>
      <c r="M8" s="158">
        <v>1011.6</v>
      </c>
      <c r="N8" s="158">
        <v>1007.3</v>
      </c>
      <c r="O8" s="158">
        <v>899.3</v>
      </c>
      <c r="P8" s="158">
        <v>974.9</v>
      </c>
      <c r="Q8" s="158">
        <v>978.7</v>
      </c>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row>
    <row r="9" spans="1:152" s="159" customFormat="1" ht="14.4">
      <c r="A9" s="5" t="s">
        <v>290</v>
      </c>
      <c r="B9" s="357"/>
      <c r="C9" s="396"/>
      <c r="D9" s="155" t="s">
        <v>285</v>
      </c>
      <c r="E9" s="156">
        <v>9419.890000000014</v>
      </c>
      <c r="F9" s="157">
        <v>9509.1790000000037</v>
      </c>
      <c r="G9" s="157">
        <v>9598.4679999999935</v>
      </c>
      <c r="H9" s="158">
        <v>9636.7999999999993</v>
      </c>
      <c r="I9" s="158">
        <v>9830</v>
      </c>
      <c r="J9" s="158">
        <f>SUM(J4:J8)</f>
        <v>9873.1</v>
      </c>
      <c r="K9" s="158">
        <f t="shared" ref="K9:Q9" si="0">SUM(K4:K8)</f>
        <v>9936.2999999999993</v>
      </c>
      <c r="L9" s="158">
        <f t="shared" si="0"/>
        <v>10065.099999999999</v>
      </c>
      <c r="M9" s="158">
        <f t="shared" si="0"/>
        <v>10184.200000000003</v>
      </c>
      <c r="N9" s="158">
        <f t="shared" si="0"/>
        <v>10170</v>
      </c>
      <c r="O9" s="158">
        <f t="shared" si="0"/>
        <v>9629.7999999999993</v>
      </c>
      <c r="P9" s="158">
        <f t="shared" si="0"/>
        <v>10128.9</v>
      </c>
      <c r="Q9" s="158">
        <f t="shared" si="0"/>
        <v>10191.6</v>
      </c>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row>
    <row r="12" spans="1:152" s="159" customFormat="1" ht="14.4" thickBot="1">
      <c r="A12" s="160" t="s">
        <v>291</v>
      </c>
      <c r="B12" s="154"/>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152" s="159" customFormat="1">
      <c r="B13" s="4" t="s">
        <v>20</v>
      </c>
      <c r="C13" s="4" t="s">
        <v>21</v>
      </c>
      <c r="D13" s="4" t="s">
        <v>22</v>
      </c>
      <c r="E13" s="4">
        <v>2010</v>
      </c>
      <c r="F13" s="4">
        <v>2011</v>
      </c>
      <c r="G13" s="4">
        <v>2012</v>
      </c>
      <c r="H13" s="4">
        <v>2013</v>
      </c>
      <c r="I13" s="4">
        <v>2014</v>
      </c>
      <c r="J13" s="4">
        <v>2015</v>
      </c>
      <c r="K13" s="4">
        <v>2016</v>
      </c>
      <c r="L13" s="4">
        <v>2017</v>
      </c>
      <c r="M13" s="4">
        <v>2018</v>
      </c>
      <c r="N13" s="4">
        <v>2019</v>
      </c>
      <c r="O13" s="4">
        <v>2020</v>
      </c>
      <c r="P13" s="4">
        <v>2021</v>
      </c>
      <c r="Q13" s="4">
        <v>2022</v>
      </c>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152" s="159" customFormat="1" ht="14.4">
      <c r="A14" s="5" t="s">
        <v>282</v>
      </c>
      <c r="B14" s="357" t="s">
        <v>283</v>
      </c>
      <c r="C14" s="358" t="s">
        <v>292</v>
      </c>
      <c r="D14" s="155" t="s">
        <v>112</v>
      </c>
      <c r="E14" s="161">
        <f t="shared" ref="E14:J18" si="1">E4/$J$9</f>
        <v>0.34925302083438831</v>
      </c>
      <c r="F14" s="161">
        <f t="shared" si="1"/>
        <v>0.35027812946288384</v>
      </c>
      <c r="G14" s="161">
        <f t="shared" si="1"/>
        <v>0.35130323809137898</v>
      </c>
      <c r="H14" s="162">
        <f t="shared" si="1"/>
        <v>0.34964702069258896</v>
      </c>
      <c r="I14" s="162">
        <f t="shared" si="1"/>
        <v>0.35883359836322937</v>
      </c>
      <c r="J14" s="162">
        <f>J4/$J$9</f>
        <v>0.35310084978375583</v>
      </c>
      <c r="K14" s="162">
        <f>K4/$K$9</f>
        <v>0.35139840785805587</v>
      </c>
      <c r="L14" s="162">
        <f>L4/$L$9</f>
        <v>0.3490973760817081</v>
      </c>
      <c r="M14" s="162">
        <f>M4/$M$9</f>
        <v>0.34854971426327047</v>
      </c>
      <c r="N14" s="162">
        <f>N4/$N$9</f>
        <v>0.3473746312684366</v>
      </c>
      <c r="O14" s="162">
        <f>O4/$O$9</f>
        <v>0.33394255332405665</v>
      </c>
      <c r="P14" s="162">
        <f>P4/$P$9</f>
        <v>0.32985812872078901</v>
      </c>
      <c r="Q14" s="162">
        <f>Q4/$Q$9</f>
        <v>0.3158875937046195</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52" s="159" customFormat="1" ht="14.4">
      <c r="A15" s="5" t="s">
        <v>286</v>
      </c>
      <c r="B15" s="357"/>
      <c r="C15" s="358"/>
      <c r="D15" s="155" t="s">
        <v>112</v>
      </c>
      <c r="E15" s="161">
        <f t="shared" si="1"/>
        <v>4.5096575543648945E-2</v>
      </c>
      <c r="F15" s="161">
        <f t="shared" si="1"/>
        <v>4.5761442707964103E-2</v>
      </c>
      <c r="G15" s="161">
        <f t="shared" si="1"/>
        <v>4.6426309872279262E-2</v>
      </c>
      <c r="H15" s="162">
        <f t="shared" si="1"/>
        <v>4.6692528182637673E-2</v>
      </c>
      <c r="I15" s="162">
        <f t="shared" si="1"/>
        <v>4.7664867164315158E-2</v>
      </c>
      <c r="J15" s="162">
        <f t="shared" si="1"/>
        <v>4.8870162360352874E-2</v>
      </c>
      <c r="K15" s="162">
        <f t="shared" ref="K15:K18" si="2">K5/$K$9</f>
        <v>4.9112848847156387E-2</v>
      </c>
      <c r="L15" s="162">
        <f t="shared" ref="L15:L18" si="3">L5/$L$9</f>
        <v>4.881223236728896E-2</v>
      </c>
      <c r="M15" s="162">
        <f t="shared" ref="M15:M18" si="4">M5/$M$9</f>
        <v>4.9439327585868297E-2</v>
      </c>
      <c r="N15" s="162">
        <f t="shared" ref="N15:N18" si="5">N5/$N$9</f>
        <v>4.8908554572271383E-2</v>
      </c>
      <c r="O15" s="162">
        <f t="shared" ref="O15:O18" si="6">O5/$O$9</f>
        <v>3.9813910984651812E-2</v>
      </c>
      <c r="P15" s="162">
        <f t="shared" ref="P15:P18" si="7">P5/$P$9</f>
        <v>4.1495127802624175E-2</v>
      </c>
      <c r="Q15" s="162">
        <f t="shared" ref="Q15:Q18" si="8">Q5/$Q$9</f>
        <v>4.6008477569763333E-2</v>
      </c>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52" s="159" customFormat="1" ht="14.4">
      <c r="A16" s="5" t="s">
        <v>287</v>
      </c>
      <c r="B16" s="357"/>
      <c r="C16" s="358"/>
      <c r="D16" s="155" t="s">
        <v>112</v>
      </c>
      <c r="E16" s="161">
        <f t="shared" si="1"/>
        <v>0.44062756378442441</v>
      </c>
      <c r="F16" s="161">
        <f t="shared" si="1"/>
        <v>0.44619177360707357</v>
      </c>
      <c r="G16" s="161">
        <f t="shared" si="1"/>
        <v>0.45175598342972317</v>
      </c>
      <c r="H16" s="162">
        <f t="shared" si="1"/>
        <v>0.45681700782935447</v>
      </c>
      <c r="I16" s="162">
        <f t="shared" si="1"/>
        <v>0.4624585996292957</v>
      </c>
      <c r="J16" s="162">
        <f t="shared" si="1"/>
        <v>0.46854584679583916</v>
      </c>
      <c r="K16" s="162">
        <f t="shared" si="2"/>
        <v>0.47211738776003148</v>
      </c>
      <c r="L16" s="162">
        <f t="shared" si="3"/>
        <v>0.47047719347050704</v>
      </c>
      <c r="M16" s="162">
        <f t="shared" si="4"/>
        <v>0.47099428526541109</v>
      </c>
      <c r="N16" s="162">
        <f t="shared" si="5"/>
        <v>0.47518190757128814</v>
      </c>
      <c r="O16" s="162">
        <f t="shared" si="6"/>
        <v>0.49352011464412554</v>
      </c>
      <c r="P16" s="162">
        <f t="shared" si="7"/>
        <v>0.49266949027041435</v>
      </c>
      <c r="Q16" s="162">
        <f t="shared" si="8"/>
        <v>0.50237450449389687</v>
      </c>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3" s="159" customFormat="1" ht="14.4">
      <c r="A17" s="5" t="s">
        <v>288</v>
      </c>
      <c r="B17" s="357"/>
      <c r="C17" s="358"/>
      <c r="D17" s="155" t="s">
        <v>112</v>
      </c>
      <c r="E17" s="161">
        <f t="shared" si="1"/>
        <v>2.1360059150621693E-2</v>
      </c>
      <c r="F17" s="161">
        <f t="shared" si="1"/>
        <v>2.2574368739301822E-2</v>
      </c>
      <c r="G17" s="161">
        <f t="shared" si="1"/>
        <v>2.3788678327982316E-2</v>
      </c>
      <c r="H17" s="162">
        <f t="shared" si="1"/>
        <v>2.4338860135114604E-2</v>
      </c>
      <c r="I17" s="162">
        <f t="shared" si="1"/>
        <v>2.6891249962018006E-2</v>
      </c>
      <c r="J17" s="162">
        <f t="shared" si="1"/>
        <v>2.7579990074039561E-2</v>
      </c>
      <c r="K17" s="162">
        <f t="shared" si="2"/>
        <v>2.6901361673862506E-2</v>
      </c>
      <c r="L17" s="162">
        <f t="shared" si="3"/>
        <v>3.1276390696565362E-2</v>
      </c>
      <c r="M17" s="162">
        <f t="shared" si="4"/>
        <v>3.1686337660297312E-2</v>
      </c>
      <c r="N17" s="162">
        <f t="shared" si="5"/>
        <v>2.9488692232055063E-2</v>
      </c>
      <c r="O17" s="162">
        <f t="shared" si="6"/>
        <v>3.9336227128289269E-2</v>
      </c>
      <c r="P17" s="162">
        <f t="shared" si="7"/>
        <v>3.9727907275222379E-2</v>
      </c>
      <c r="Q17" s="162">
        <f t="shared" si="8"/>
        <v>3.9699360257466933E-2</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3" s="159" customFormat="1" ht="14.4">
      <c r="A18" s="5" t="s">
        <v>289</v>
      </c>
      <c r="B18" s="357"/>
      <c r="C18" s="358"/>
      <c r="D18" s="155" t="s">
        <v>112</v>
      </c>
      <c r="E18" s="161">
        <f t="shared" si="1"/>
        <v>9.7739615723531653E-2</v>
      </c>
      <c r="F18" s="161">
        <f t="shared" si="1"/>
        <v>9.8310793975549843E-2</v>
      </c>
      <c r="G18" s="161">
        <f t="shared" si="1"/>
        <v>9.8881972227567838E-2</v>
      </c>
      <c r="H18" s="162">
        <f t="shared" si="1"/>
        <v>9.8591121329673556E-2</v>
      </c>
      <c r="I18" s="162">
        <f t="shared" si="1"/>
        <v>9.9806545056770404E-2</v>
      </c>
      <c r="J18" s="162">
        <f t="shared" si="1"/>
        <v>0.10190315098601249</v>
      </c>
      <c r="K18" s="162">
        <f t="shared" si="2"/>
        <v>0.10046999386089389</v>
      </c>
      <c r="L18" s="162">
        <f t="shared" si="3"/>
        <v>0.10033680738393062</v>
      </c>
      <c r="M18" s="162">
        <f t="shared" si="4"/>
        <v>9.9330335225152666E-2</v>
      </c>
      <c r="N18" s="162">
        <f t="shared" si="5"/>
        <v>9.9046214355948861E-2</v>
      </c>
      <c r="O18" s="162">
        <f t="shared" si="6"/>
        <v>9.3387193918876829E-2</v>
      </c>
      <c r="P18" s="162">
        <f t="shared" si="7"/>
        <v>9.6249345930950053E-2</v>
      </c>
      <c r="Q18" s="162">
        <f t="shared" si="8"/>
        <v>9.6030063974253302E-2</v>
      </c>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21" spans="1:83" ht="14.4" thickBot="1">
      <c r="A21" s="160" t="s">
        <v>293</v>
      </c>
    </row>
    <row r="22" spans="1:83">
      <c r="B22" s="4" t="s">
        <v>20</v>
      </c>
      <c r="C22" s="4" t="s">
        <v>21</v>
      </c>
      <c r="D22" s="4" t="s">
        <v>22</v>
      </c>
      <c r="E22" s="4">
        <v>2010</v>
      </c>
      <c r="F22" s="4">
        <v>2011</v>
      </c>
      <c r="G22" s="4">
        <v>2012</v>
      </c>
      <c r="H22" s="4">
        <v>2013</v>
      </c>
      <c r="I22" s="4">
        <v>2014</v>
      </c>
      <c r="J22" s="4">
        <v>2015</v>
      </c>
      <c r="K22" s="4">
        <v>2016</v>
      </c>
      <c r="L22" s="4">
        <v>2017</v>
      </c>
      <c r="M22" s="4">
        <v>2018</v>
      </c>
      <c r="N22" s="4">
        <v>2019</v>
      </c>
      <c r="O22" s="4">
        <v>2020</v>
      </c>
      <c r="P22" s="4">
        <v>2021</v>
      </c>
      <c r="Q22" s="4">
        <v>2022</v>
      </c>
    </row>
    <row r="23" spans="1:83" s="159" customFormat="1" ht="14.4">
      <c r="A23" s="5" t="s">
        <v>294</v>
      </c>
      <c r="B23" s="357" t="s">
        <v>295</v>
      </c>
      <c r="C23" s="358" t="s">
        <v>296</v>
      </c>
      <c r="D23" s="155" t="s">
        <v>285</v>
      </c>
      <c r="E23" s="157">
        <v>2185.5</v>
      </c>
      <c r="F23" s="157">
        <v>2427.89</v>
      </c>
      <c r="G23" s="157">
        <v>2283.36</v>
      </c>
      <c r="H23" s="157">
        <v>2141.04</v>
      </c>
      <c r="I23" s="157">
        <v>2030.7</v>
      </c>
      <c r="J23" s="158">
        <v>1874.5052137229418</v>
      </c>
      <c r="K23" s="158">
        <v>1745.6193738587153</v>
      </c>
      <c r="L23" s="158">
        <v>2009.2908623763428</v>
      </c>
      <c r="M23" s="158">
        <v>2087.1254247351317</v>
      </c>
      <c r="N23" s="158">
        <v>1983.4863294120164</v>
      </c>
      <c r="O23" s="158">
        <v>1797.5343564770444</v>
      </c>
      <c r="P23" s="158">
        <v>2019.2369054920175</v>
      </c>
      <c r="Q23" s="158">
        <v>1761.003453613986</v>
      </c>
    </row>
    <row r="24" spans="1:83" s="159" customFormat="1" ht="14.4">
      <c r="A24" s="5" t="s">
        <v>297</v>
      </c>
      <c r="B24" s="357"/>
      <c r="C24" s="358"/>
      <c r="D24" s="155" t="s">
        <v>285</v>
      </c>
      <c r="E24" s="157">
        <v>6376.0471199050398</v>
      </c>
      <c r="F24" s="157">
        <v>7224.1746762457096</v>
      </c>
      <c r="G24" s="157">
        <v>6927.2158890330702</v>
      </c>
      <c r="H24" s="157">
        <v>6409.5074149690599</v>
      </c>
      <c r="I24" s="157">
        <v>6051.3081441788299</v>
      </c>
      <c r="J24" s="158">
        <v>6287.5996796402696</v>
      </c>
      <c r="K24" s="158">
        <v>5721.3154905108895</v>
      </c>
      <c r="L24" s="158">
        <v>6581.5539944500088</v>
      </c>
      <c r="M24" s="158">
        <v>6898.9779422136553</v>
      </c>
      <c r="N24" s="158">
        <v>6492.6861130754751</v>
      </c>
      <c r="O24" s="158">
        <v>5462.0595189262149</v>
      </c>
      <c r="P24" s="158">
        <v>6450.6115351954668</v>
      </c>
      <c r="Q24" s="158">
        <v>5840.8811474697959</v>
      </c>
    </row>
    <row r="27" spans="1:83" ht="14.4" thickBot="1">
      <c r="A27" s="160" t="s">
        <v>298</v>
      </c>
    </row>
    <row r="28" spans="1:83">
      <c r="B28" s="4" t="s">
        <v>20</v>
      </c>
      <c r="C28" s="4" t="s">
        <v>21</v>
      </c>
      <c r="D28" s="4" t="s">
        <v>22</v>
      </c>
      <c r="E28" s="4">
        <v>2010</v>
      </c>
      <c r="F28" s="4">
        <v>2011</v>
      </c>
      <c r="G28" s="4">
        <v>2012</v>
      </c>
      <c r="H28" s="4">
        <v>2013</v>
      </c>
      <c r="I28" s="4">
        <v>2014</v>
      </c>
      <c r="J28" s="4">
        <v>2015</v>
      </c>
      <c r="K28" s="4">
        <v>2016</v>
      </c>
      <c r="L28" s="4">
        <v>2017</v>
      </c>
      <c r="M28" s="4">
        <v>2018</v>
      </c>
      <c r="N28" s="4">
        <v>2019</v>
      </c>
      <c r="O28" s="4">
        <v>2020</v>
      </c>
      <c r="P28" s="4">
        <v>2021</v>
      </c>
      <c r="Q28" s="4">
        <v>2022</v>
      </c>
    </row>
    <row r="29" spans="1:83" ht="41.4" customHeight="1">
      <c r="A29" s="5" t="s">
        <v>298</v>
      </c>
      <c r="B29" s="152" t="s">
        <v>299</v>
      </c>
      <c r="C29" s="163" t="s">
        <v>300</v>
      </c>
      <c r="D29" s="155" t="s">
        <v>112</v>
      </c>
      <c r="E29" s="155">
        <v>0.56000000000000005</v>
      </c>
      <c r="F29" s="155">
        <v>0.56899999999999995</v>
      </c>
      <c r="G29" s="155">
        <v>0.57199999999999995</v>
      </c>
      <c r="H29" s="69">
        <v>0.56391999999999998</v>
      </c>
      <c r="I29" s="69">
        <v>0.56464000000000003</v>
      </c>
      <c r="J29" s="69">
        <v>0.56296000000000002</v>
      </c>
      <c r="K29" s="69">
        <v>0.58298000000000005</v>
      </c>
      <c r="L29" s="69">
        <v>0.60851</v>
      </c>
      <c r="M29" s="69">
        <v>0.59631999999999996</v>
      </c>
      <c r="N29" s="69">
        <v>0.59092</v>
      </c>
      <c r="O29" s="69">
        <v>0.59399000000000002</v>
      </c>
      <c r="P29" s="69">
        <v>0.59226999999999996</v>
      </c>
      <c r="Q29" s="69">
        <v>0.58596999999999999</v>
      </c>
    </row>
    <row r="30" spans="1:83">
      <c r="A30" s="164"/>
      <c r="B30" s="165"/>
      <c r="C30" s="166"/>
      <c r="D30" s="167"/>
      <c r="E30" s="167"/>
      <c r="F30" s="167"/>
      <c r="G30" s="167"/>
      <c r="H30" s="167"/>
      <c r="I30" s="167"/>
      <c r="J30" s="159"/>
      <c r="K30" s="159"/>
      <c r="L30" s="159"/>
      <c r="M30" s="159"/>
      <c r="N30" s="159"/>
      <c r="O30" s="159"/>
      <c r="P30" s="159"/>
      <c r="Q30" s="159"/>
    </row>
    <row r="31" spans="1:83">
      <c r="A31" s="164"/>
      <c r="B31" s="165"/>
      <c r="C31" s="166"/>
      <c r="D31" s="167"/>
      <c r="E31" s="167"/>
      <c r="F31" s="167"/>
      <c r="G31" s="167"/>
      <c r="H31" s="167"/>
      <c r="I31" s="167"/>
      <c r="J31" s="159"/>
      <c r="K31" s="159"/>
      <c r="L31" s="159"/>
      <c r="M31" s="159"/>
      <c r="N31" s="159"/>
      <c r="O31" s="159"/>
      <c r="P31" s="159"/>
      <c r="Q31" s="159"/>
    </row>
    <row r="32" spans="1:83" ht="14.4" thickBot="1">
      <c r="A32" s="160" t="s">
        <v>301</v>
      </c>
    </row>
    <row r="33" spans="1:17" ht="25.2" customHeight="1">
      <c r="B33" s="4" t="s">
        <v>20</v>
      </c>
      <c r="C33" s="4" t="s">
        <v>21</v>
      </c>
      <c r="D33" s="4" t="s">
        <v>22</v>
      </c>
      <c r="E33" s="4">
        <v>2010</v>
      </c>
      <c r="F33" s="4">
        <v>2011</v>
      </c>
      <c r="G33" s="4">
        <v>2012</v>
      </c>
      <c r="H33" s="4">
        <v>2013</v>
      </c>
      <c r="I33" s="4">
        <v>2014</v>
      </c>
      <c r="J33" s="4">
        <v>2015</v>
      </c>
      <c r="K33" s="4">
        <v>2016</v>
      </c>
      <c r="L33" s="4">
        <v>2017</v>
      </c>
      <c r="M33" s="4">
        <v>2018</v>
      </c>
      <c r="N33" s="4">
        <v>2019</v>
      </c>
      <c r="O33" s="4">
        <v>2020</v>
      </c>
      <c r="P33" s="4">
        <v>2021</v>
      </c>
      <c r="Q33" s="4">
        <v>2022</v>
      </c>
    </row>
    <row r="34" spans="1:17" ht="27.6" customHeight="1">
      <c r="A34" s="5" t="s">
        <v>301</v>
      </c>
      <c r="B34" s="152" t="s">
        <v>302</v>
      </c>
      <c r="C34" s="163" t="s">
        <v>303</v>
      </c>
      <c r="D34" s="155" t="s">
        <v>285</v>
      </c>
      <c r="E34" s="168">
        <f t="shared" ref="E34:I34" si="9">E9*E29</f>
        <v>5275.138400000008</v>
      </c>
      <c r="F34" s="168">
        <f t="shared" si="9"/>
        <v>5410.7228510000014</v>
      </c>
      <c r="G34" s="168">
        <f t="shared" si="9"/>
        <v>5490.3236959999958</v>
      </c>
      <c r="H34" s="169">
        <f t="shared" si="9"/>
        <v>5434.3842559999994</v>
      </c>
      <c r="I34" s="169">
        <f t="shared" si="9"/>
        <v>5550.4112000000005</v>
      </c>
      <c r="J34" s="169">
        <f>J9*J29</f>
        <v>5558.1603760000007</v>
      </c>
      <c r="K34" s="169">
        <f t="shared" ref="K34:Q34" si="10">K9*K29</f>
        <v>5792.6641740000005</v>
      </c>
      <c r="L34" s="169">
        <f t="shared" si="10"/>
        <v>6124.7140009999994</v>
      </c>
      <c r="M34" s="169">
        <f t="shared" si="10"/>
        <v>6073.0421440000009</v>
      </c>
      <c r="N34" s="169">
        <f t="shared" si="10"/>
        <v>6009.6563999999998</v>
      </c>
      <c r="O34" s="169">
        <f t="shared" si="10"/>
        <v>5720.0049019999997</v>
      </c>
      <c r="P34" s="169">
        <f t="shared" si="10"/>
        <v>5999.0436029999992</v>
      </c>
      <c r="Q34" s="169">
        <f t="shared" si="10"/>
        <v>5971.9718519999997</v>
      </c>
    </row>
    <row r="37" spans="1:17" ht="14.4" thickBot="1">
      <c r="A37" s="160" t="s">
        <v>304</v>
      </c>
    </row>
    <row r="38" spans="1:17">
      <c r="B38" s="4" t="s">
        <v>20</v>
      </c>
      <c r="C38" s="4" t="s">
        <v>21</v>
      </c>
      <c r="D38" s="4" t="s">
        <v>22</v>
      </c>
      <c r="E38" s="4">
        <v>2010</v>
      </c>
      <c r="F38" s="4">
        <v>2011</v>
      </c>
      <c r="G38" s="4">
        <v>2012</v>
      </c>
      <c r="H38" s="4">
        <v>2013</v>
      </c>
      <c r="I38" s="4">
        <v>2014</v>
      </c>
      <c r="J38" s="4">
        <v>2015</v>
      </c>
      <c r="K38" s="4">
        <v>2016</v>
      </c>
      <c r="L38" s="4">
        <v>2017</v>
      </c>
      <c r="M38" s="4">
        <v>2018</v>
      </c>
      <c r="N38" s="4">
        <v>2019</v>
      </c>
      <c r="O38" s="4">
        <v>2020</v>
      </c>
      <c r="P38" s="4">
        <v>2021</v>
      </c>
      <c r="Q38" s="4">
        <v>2022</v>
      </c>
    </row>
    <row r="39" spans="1:17" ht="21" customHeight="1">
      <c r="A39" s="393" t="s">
        <v>305</v>
      </c>
      <c r="B39" s="357" t="s">
        <v>299</v>
      </c>
      <c r="C39" s="358" t="s">
        <v>306</v>
      </c>
      <c r="D39" s="155" t="s">
        <v>112</v>
      </c>
      <c r="E39" s="69">
        <v>0.43999999999999995</v>
      </c>
      <c r="F39" s="69">
        <v>0.43100000000000005</v>
      </c>
      <c r="G39" s="69">
        <v>0.42800000000000005</v>
      </c>
      <c r="H39" s="69">
        <v>0.43608000000000002</v>
      </c>
      <c r="I39" s="69">
        <v>0.43535999999999997</v>
      </c>
      <c r="J39" s="69">
        <v>0.43703999999999998</v>
      </c>
      <c r="K39" s="69">
        <v>0.41701999999999995</v>
      </c>
      <c r="L39" s="69">
        <v>0.39149</v>
      </c>
      <c r="M39" s="69">
        <v>0.40368000000000004</v>
      </c>
      <c r="N39" s="69">
        <v>0.40908</v>
      </c>
      <c r="O39" s="69">
        <v>0.40600999999999998</v>
      </c>
      <c r="P39" s="69">
        <v>0.40773000000000004</v>
      </c>
      <c r="Q39" s="69">
        <v>0.41403000000000001</v>
      </c>
    </row>
    <row r="40" spans="1:17" ht="21" customHeight="1">
      <c r="A40" s="393"/>
      <c r="B40" s="357"/>
      <c r="C40" s="358"/>
      <c r="D40" s="155" t="s">
        <v>285</v>
      </c>
      <c r="E40" s="157">
        <f t="shared" ref="E40:H40" si="11">E39*E9</f>
        <v>4144.751600000006</v>
      </c>
      <c r="F40" s="157">
        <f t="shared" si="11"/>
        <v>4098.4561490000024</v>
      </c>
      <c r="G40" s="157">
        <f t="shared" si="11"/>
        <v>4108.1443039999976</v>
      </c>
      <c r="H40" s="158">
        <f t="shared" si="11"/>
        <v>4202.4157439999999</v>
      </c>
      <c r="I40" s="158">
        <f>I39*I9</f>
        <v>4279.5887999999995</v>
      </c>
      <c r="J40" s="158">
        <v>4314.9977082127552</v>
      </c>
      <c r="K40" s="158">
        <v>4143.6288918148384</v>
      </c>
      <c r="L40" s="158">
        <v>3940.3716519154555</v>
      </c>
      <c r="M40" s="158">
        <v>4111.1680627948708</v>
      </c>
      <c r="N40" s="158">
        <v>4160.3284666555337</v>
      </c>
      <c r="O40" s="158">
        <v>3909.7927469541105</v>
      </c>
      <c r="P40" s="158">
        <v>4129.8987607024701</v>
      </c>
      <c r="Q40" s="158">
        <v>4219.6265438451001</v>
      </c>
    </row>
    <row r="43" spans="1:17" ht="14.4" thickBot="1">
      <c r="A43" s="160" t="s">
        <v>307</v>
      </c>
    </row>
    <row r="44" spans="1:17">
      <c r="B44" s="4" t="s">
        <v>20</v>
      </c>
      <c r="C44" s="4" t="s">
        <v>21</v>
      </c>
      <c r="D44" s="4" t="s">
        <v>22</v>
      </c>
      <c r="E44" s="4">
        <v>2010</v>
      </c>
      <c r="F44" s="4">
        <v>2011</v>
      </c>
      <c r="G44" s="4">
        <v>2012</v>
      </c>
      <c r="H44" s="4">
        <v>2013</v>
      </c>
      <c r="I44" s="4">
        <v>2014</v>
      </c>
      <c r="J44" s="4">
        <v>2015</v>
      </c>
      <c r="K44" s="4">
        <v>2016</v>
      </c>
      <c r="L44" s="4">
        <v>2017</v>
      </c>
      <c r="M44" s="4">
        <v>2018</v>
      </c>
      <c r="N44" s="4">
        <v>2019</v>
      </c>
      <c r="O44" s="4">
        <v>2020</v>
      </c>
      <c r="P44" s="4">
        <v>2021</v>
      </c>
      <c r="Q44" s="4">
        <v>2022</v>
      </c>
    </row>
    <row r="45" spans="1:17" ht="67.8" customHeight="1">
      <c r="A45" s="5" t="s">
        <v>308</v>
      </c>
      <c r="B45" s="152" t="s">
        <v>295</v>
      </c>
      <c r="C45" s="153" t="s">
        <v>309</v>
      </c>
      <c r="D45" s="155" t="s">
        <v>285</v>
      </c>
      <c r="E45" s="158">
        <v>1877.31061082374</v>
      </c>
      <c r="F45" s="158">
        <v>2328.1912644856802</v>
      </c>
      <c r="G45" s="158">
        <v>2299.8314092085502</v>
      </c>
      <c r="H45" s="155">
        <v>2126.7399999999998</v>
      </c>
      <c r="I45" s="158">
        <v>2033.761</v>
      </c>
      <c r="J45" s="158">
        <v>1839.7618373437426</v>
      </c>
      <c r="K45" s="158">
        <v>1533.4143761194325</v>
      </c>
      <c r="L45" s="158">
        <v>1735.0624456142016</v>
      </c>
      <c r="M45" s="158">
        <v>1743.9864540800922</v>
      </c>
      <c r="N45" s="158">
        <v>1602.6653100841481</v>
      </c>
      <c r="O45" s="158">
        <v>1095.3473198091758</v>
      </c>
      <c r="P45" s="158">
        <v>1361.1944607157468</v>
      </c>
      <c r="Q45" s="158">
        <v>1414.4375410319485</v>
      </c>
    </row>
    <row r="48" spans="1:17" ht="14.4" thickBot="1">
      <c r="A48" s="160" t="s">
        <v>310</v>
      </c>
    </row>
    <row r="49" spans="1:17">
      <c r="B49" s="4" t="s">
        <v>20</v>
      </c>
      <c r="C49" s="4" t="s">
        <v>21</v>
      </c>
      <c r="D49" s="4" t="s">
        <v>22</v>
      </c>
      <c r="E49" s="4">
        <v>2010</v>
      </c>
      <c r="F49" s="4">
        <v>2011</v>
      </c>
      <c r="G49" s="4">
        <v>2012</v>
      </c>
      <c r="H49" s="4">
        <v>2013</v>
      </c>
      <c r="I49" s="4">
        <v>2014</v>
      </c>
      <c r="J49" s="4">
        <v>2015</v>
      </c>
      <c r="K49" s="4">
        <v>2016</v>
      </c>
      <c r="L49" s="4">
        <v>2017</v>
      </c>
      <c r="M49" s="4">
        <v>2018</v>
      </c>
      <c r="N49" s="4">
        <v>2019</v>
      </c>
      <c r="O49" s="4">
        <v>2020</v>
      </c>
      <c r="P49" s="4">
        <v>2021</v>
      </c>
      <c r="Q49" s="4">
        <v>2022</v>
      </c>
    </row>
    <row r="50" spans="1:17" ht="64.2" customHeight="1">
      <c r="A50" s="5" t="s">
        <v>310</v>
      </c>
      <c r="B50" s="152" t="s">
        <v>295</v>
      </c>
      <c r="C50" s="170" t="s">
        <v>311</v>
      </c>
      <c r="D50" s="155" t="s">
        <v>285</v>
      </c>
      <c r="E50" s="157">
        <v>16788.600000000093</v>
      </c>
      <c r="F50" s="157">
        <v>17079.260000000009</v>
      </c>
      <c r="G50" s="157">
        <v>17369.920000000042</v>
      </c>
      <c r="H50" s="157">
        <v>17660.580000000075</v>
      </c>
      <c r="I50" s="157">
        <v>17951.240000000107</v>
      </c>
      <c r="J50" s="158">
        <v>18171.799827606366</v>
      </c>
      <c r="K50" s="158">
        <v>18560.453911240769</v>
      </c>
      <c r="L50" s="158">
        <v>18924.767878954874</v>
      </c>
      <c r="M50" s="158">
        <v>19153.746509560926</v>
      </c>
      <c r="N50" s="158">
        <v>19328.464801567057</v>
      </c>
      <c r="O50" s="158">
        <v>19478.56136905454</v>
      </c>
      <c r="P50" s="158">
        <v>19603.587697042316</v>
      </c>
      <c r="Q50" s="158">
        <v>19451.548419057377</v>
      </c>
    </row>
    <row r="53" spans="1:17" ht="14.4" thickBot="1">
      <c r="A53" s="160" t="s">
        <v>312</v>
      </c>
    </row>
    <row r="54" spans="1:17">
      <c r="B54" s="4" t="s">
        <v>20</v>
      </c>
      <c r="C54" s="4" t="s">
        <v>21</v>
      </c>
      <c r="D54" s="4" t="s">
        <v>22</v>
      </c>
      <c r="E54" s="4">
        <v>2010</v>
      </c>
      <c r="F54" s="4">
        <v>2011</v>
      </c>
      <c r="G54" s="4">
        <v>2012</v>
      </c>
      <c r="H54" s="4">
        <v>2013</v>
      </c>
      <c r="I54" s="4">
        <v>2014</v>
      </c>
      <c r="J54" s="4">
        <v>2015</v>
      </c>
      <c r="K54" s="4">
        <v>2016</v>
      </c>
      <c r="L54" s="4">
        <v>2017</v>
      </c>
      <c r="M54" s="4">
        <v>2018</v>
      </c>
      <c r="N54" s="4">
        <v>2019</v>
      </c>
      <c r="O54" s="4">
        <v>2020</v>
      </c>
      <c r="P54" s="4">
        <v>2021</v>
      </c>
      <c r="Q54" s="4">
        <v>2022</v>
      </c>
    </row>
    <row r="55" spans="1:17" ht="31.2" customHeight="1">
      <c r="A55" s="5" t="s">
        <v>313</v>
      </c>
      <c r="B55" s="394" t="s">
        <v>283</v>
      </c>
      <c r="C55" s="171" t="s">
        <v>314</v>
      </c>
      <c r="D55" s="155" t="s">
        <v>285</v>
      </c>
      <c r="E55" s="156">
        <v>964.99300000000039</v>
      </c>
      <c r="F55" s="157">
        <v>970.63230000000112</v>
      </c>
      <c r="G55" s="157">
        <v>976.27160000000003</v>
      </c>
      <c r="H55" s="158">
        <v>973.4</v>
      </c>
      <c r="I55" s="158">
        <v>985.4</v>
      </c>
      <c r="J55" s="158">
        <v>1006.1091885554786</v>
      </c>
      <c r="K55" s="158">
        <v>998.26957010199419</v>
      </c>
      <c r="L55" s="158">
        <v>1009.895124419597</v>
      </c>
      <c r="M55" s="158">
        <v>1011.6030022446055</v>
      </c>
      <c r="N55" s="158">
        <v>1007.2883635287941</v>
      </c>
      <c r="O55" s="158">
        <v>899.27258178921102</v>
      </c>
      <c r="P55" s="158">
        <v>974.89861039134905</v>
      </c>
      <c r="Q55" s="158">
        <v>978.67391926768403</v>
      </c>
    </row>
    <row r="56" spans="1:17" ht="27.6" customHeight="1">
      <c r="A56" s="5" t="s">
        <v>315</v>
      </c>
      <c r="B56" s="395"/>
      <c r="C56" s="170" t="s">
        <v>316</v>
      </c>
      <c r="D56" s="155" t="s">
        <v>112</v>
      </c>
      <c r="E56" s="172">
        <f t="shared" ref="E56:H56" si="12">E55/E9</f>
        <v>0.10244206673326323</v>
      </c>
      <c r="F56" s="172">
        <f t="shared" si="12"/>
        <v>0.10207319685537529</v>
      </c>
      <c r="G56" s="172">
        <f t="shared" si="12"/>
        <v>0.10171118974403005</v>
      </c>
      <c r="H56" s="69">
        <f t="shared" si="12"/>
        <v>0.10100863357130999</v>
      </c>
      <c r="I56" s="69">
        <f>I55/I9</f>
        <v>0.10024415055951169</v>
      </c>
      <c r="J56" s="69">
        <v>0.10190270992018936</v>
      </c>
      <c r="K56" s="69">
        <v>0.10046709949008054</v>
      </c>
      <c r="L56" s="69">
        <v>0.10033668830878872</v>
      </c>
      <c r="M56" s="69">
        <v>9.9330383411396425E-2</v>
      </c>
      <c r="N56" s="69">
        <v>9.9045430440162632E-2</v>
      </c>
      <c r="O56" s="69">
        <v>9.338440284761286E-2</v>
      </c>
      <c r="P56" s="69">
        <v>9.6248221432733941E-2</v>
      </c>
      <c r="Q56" s="69">
        <v>9.6027541438575684E-2</v>
      </c>
    </row>
    <row r="59" spans="1:17" ht="14.4" thickBot="1">
      <c r="A59" s="160" t="s">
        <v>317</v>
      </c>
    </row>
    <row r="60" spans="1:17">
      <c r="B60" s="4" t="s">
        <v>20</v>
      </c>
      <c r="C60" s="4" t="s">
        <v>21</v>
      </c>
      <c r="D60" s="4" t="s">
        <v>22</v>
      </c>
      <c r="E60" s="4">
        <v>2010</v>
      </c>
      <c r="F60" s="4">
        <v>2011</v>
      </c>
      <c r="G60" s="4">
        <v>2012</v>
      </c>
      <c r="H60" s="4">
        <v>2013</v>
      </c>
      <c r="I60" s="4">
        <v>2014</v>
      </c>
      <c r="J60" s="4">
        <v>2015</v>
      </c>
      <c r="K60" s="4">
        <v>2016</v>
      </c>
      <c r="L60" s="4">
        <v>2017</v>
      </c>
      <c r="M60" s="4">
        <v>2018</v>
      </c>
      <c r="N60" s="4">
        <v>2019</v>
      </c>
      <c r="O60" s="4">
        <v>2020</v>
      </c>
      <c r="P60" s="4">
        <v>2021</v>
      </c>
      <c r="Q60" s="4">
        <v>2022</v>
      </c>
    </row>
    <row r="61" spans="1:17" ht="32.4" customHeight="1">
      <c r="A61" s="5" t="s">
        <v>317</v>
      </c>
      <c r="B61" s="152" t="s">
        <v>295</v>
      </c>
      <c r="C61" s="163" t="s">
        <v>318</v>
      </c>
      <c r="D61" s="155" t="s">
        <v>285</v>
      </c>
      <c r="E61" s="172">
        <v>-134.22087147063999</v>
      </c>
      <c r="F61" s="172">
        <v>-105.469651472422</v>
      </c>
      <c r="G61" s="172">
        <v>147.39853497559901</v>
      </c>
      <c r="H61" s="172">
        <v>240.19309986279001</v>
      </c>
      <c r="I61" s="172">
        <v>185.93206435107001</v>
      </c>
      <c r="J61" s="69">
        <v>-128.29766731336409</v>
      </c>
      <c r="K61" s="69">
        <v>40.76671670440728</v>
      </c>
      <c r="L61" s="69">
        <v>119.51932481533893</v>
      </c>
      <c r="M61" s="69">
        <v>54.843757818744294</v>
      </c>
      <c r="N61" s="69">
        <v>51.284454330768817</v>
      </c>
      <c r="O61" s="69">
        <v>381.60094497137339</v>
      </c>
      <c r="P61" s="69">
        <v>640.47826578790682</v>
      </c>
      <c r="Q61" s="69">
        <v>185.43290329657438</v>
      </c>
    </row>
    <row r="64" spans="1:17" ht="14.4" thickBot="1">
      <c r="A64" s="160" t="s">
        <v>319</v>
      </c>
    </row>
    <row r="65" spans="1:17">
      <c r="B65" s="4" t="s">
        <v>20</v>
      </c>
      <c r="C65" s="4" t="s">
        <v>21</v>
      </c>
      <c r="D65" s="4" t="s">
        <v>22</v>
      </c>
      <c r="E65" s="4">
        <v>2010</v>
      </c>
      <c r="F65" s="4">
        <v>2011</v>
      </c>
      <c r="G65" s="4">
        <v>2012</v>
      </c>
      <c r="H65" s="4">
        <v>2013</v>
      </c>
      <c r="I65" s="4">
        <v>2014</v>
      </c>
      <c r="J65" s="4">
        <v>2015</v>
      </c>
      <c r="K65" s="4">
        <v>2016</v>
      </c>
      <c r="L65" s="4">
        <v>2017</v>
      </c>
      <c r="M65" s="4">
        <v>2018</v>
      </c>
      <c r="N65" s="4">
        <v>2019</v>
      </c>
      <c r="O65" s="4">
        <v>2020</v>
      </c>
      <c r="P65" s="4">
        <v>2021</v>
      </c>
      <c r="Q65" s="4">
        <v>2022</v>
      </c>
    </row>
    <row r="66" spans="1:17" ht="25.8" customHeight="1">
      <c r="A66" s="5" t="s">
        <v>319</v>
      </c>
      <c r="B66" s="152" t="s">
        <v>295</v>
      </c>
      <c r="C66" s="170" t="s">
        <v>320</v>
      </c>
      <c r="D66" s="155" t="s">
        <v>112</v>
      </c>
      <c r="E66" s="172">
        <v>1.7312938541624349E-2</v>
      </c>
      <c r="F66" s="172">
        <f t="shared" ref="F66:I66" si="13">(F50-E50)/E50</f>
        <v>1.7312938541624349E-2</v>
      </c>
      <c r="G66" s="172">
        <f t="shared" si="13"/>
        <v>1.7018301729702132E-2</v>
      </c>
      <c r="H66" s="172">
        <f t="shared" si="13"/>
        <v>1.6733525543009518E-2</v>
      </c>
      <c r="I66" s="172">
        <f t="shared" si="13"/>
        <v>1.6458123119401025E-2</v>
      </c>
      <c r="J66" s="69">
        <f>(J50-I50)/I50</f>
        <v>1.2286606808569096E-2</v>
      </c>
      <c r="K66" s="69">
        <v>2.1387759458144799E-2</v>
      </c>
      <c r="L66" s="69">
        <v>1.9628505286364201E-2</v>
      </c>
      <c r="M66" s="69">
        <v>1.2099415542141801E-2</v>
      </c>
      <c r="N66" s="69">
        <v>9.1218859933704204E-3</v>
      </c>
      <c r="O66" s="69">
        <v>7.7655710905353299E-3</v>
      </c>
      <c r="P66" s="69">
        <v>6.4186633508986199E-3</v>
      </c>
      <c r="Q66" s="69">
        <v>-7.75568637407537E-3</v>
      </c>
    </row>
    <row r="69" spans="1:17" ht="14.4" thickBot="1">
      <c r="A69" s="160" t="s">
        <v>321</v>
      </c>
    </row>
    <row r="70" spans="1:17">
      <c r="B70" s="4" t="s">
        <v>20</v>
      </c>
      <c r="C70" s="4" t="s">
        <v>21</v>
      </c>
      <c r="D70" s="4" t="s">
        <v>22</v>
      </c>
      <c r="E70" s="4">
        <v>2010</v>
      </c>
      <c r="F70" s="4">
        <v>2011</v>
      </c>
      <c r="G70" s="4">
        <v>2012</v>
      </c>
      <c r="H70" s="4">
        <v>2013</v>
      </c>
      <c r="I70" s="4">
        <v>2014</v>
      </c>
      <c r="J70" s="4">
        <v>2015</v>
      </c>
      <c r="K70" s="4">
        <v>2016</v>
      </c>
      <c r="L70" s="4">
        <v>2017</v>
      </c>
      <c r="M70" s="4">
        <v>2018</v>
      </c>
      <c r="N70" s="4">
        <v>2019</v>
      </c>
      <c r="O70" s="4">
        <v>2020</v>
      </c>
      <c r="P70" s="4">
        <v>2021</v>
      </c>
      <c r="Q70" s="4">
        <v>2022</v>
      </c>
    </row>
    <row r="71" spans="1:17" ht="39" customHeight="1">
      <c r="A71" s="5" t="s">
        <v>321</v>
      </c>
      <c r="B71" s="152" t="s">
        <v>295</v>
      </c>
      <c r="C71" s="170" t="s">
        <v>322</v>
      </c>
      <c r="D71" s="155" t="s">
        <v>285</v>
      </c>
      <c r="E71" s="157">
        <v>4200.1665667937305</v>
      </c>
      <c r="F71" s="157">
        <v>4689.7655346915999</v>
      </c>
      <c r="G71" s="157">
        <v>4417.9882904184396</v>
      </c>
      <c r="H71" s="157">
        <v>4051.7699030016902</v>
      </c>
      <c r="I71" s="157">
        <v>3410.3138977303702</v>
      </c>
      <c r="J71" s="158">
        <v>3334.5877280942109</v>
      </c>
      <c r="K71" s="158">
        <v>2354.3081979772091</v>
      </c>
      <c r="L71" s="158">
        <v>3321.6051231770293</v>
      </c>
      <c r="M71" s="158">
        <v>3638.8589590833981</v>
      </c>
      <c r="N71" s="158">
        <v>3099.336709101206</v>
      </c>
      <c r="O71" s="158">
        <v>2192.1246626500556</v>
      </c>
      <c r="P71" s="158">
        <v>3404.4706525374709</v>
      </c>
      <c r="Q71" s="158">
        <v>2287.6189228223211</v>
      </c>
    </row>
    <row r="74" spans="1:17" ht="14.4" thickBot="1">
      <c r="A74" s="160" t="s">
        <v>323</v>
      </c>
    </row>
    <row r="75" spans="1:17">
      <c r="B75" s="4" t="s">
        <v>20</v>
      </c>
      <c r="C75" s="4" t="s">
        <v>21</v>
      </c>
      <c r="D75" s="4" t="s">
        <v>22</v>
      </c>
      <c r="E75" s="4">
        <v>2010</v>
      </c>
      <c r="F75" s="4">
        <v>2011</v>
      </c>
      <c r="G75" s="4">
        <v>2012</v>
      </c>
      <c r="H75" s="4">
        <v>2013</v>
      </c>
      <c r="I75" s="4">
        <v>2014</v>
      </c>
      <c r="J75" s="4">
        <v>2015</v>
      </c>
      <c r="K75" s="4">
        <v>2016</v>
      </c>
      <c r="L75" s="4">
        <v>2017</v>
      </c>
      <c r="M75" s="4">
        <v>2018</v>
      </c>
      <c r="N75" s="4">
        <v>2019</v>
      </c>
      <c r="O75" s="4">
        <v>2020</v>
      </c>
      <c r="P75" s="4">
        <v>2021</v>
      </c>
      <c r="Q75" s="4">
        <v>2022</v>
      </c>
    </row>
    <row r="76" spans="1:17" ht="34.200000000000003" customHeight="1">
      <c r="A76" s="5" t="s">
        <v>324</v>
      </c>
      <c r="B76" s="394" t="s">
        <v>295</v>
      </c>
      <c r="C76" s="171" t="s">
        <v>325</v>
      </c>
      <c r="D76" s="155" t="s">
        <v>285</v>
      </c>
      <c r="E76" s="172">
        <v>2037.5312644857622</v>
      </c>
      <c r="F76" s="172">
        <f t="shared" ref="F76:H76" si="14">E50+F45-F50</f>
        <v>2037.5312644857622</v>
      </c>
      <c r="G76" s="172">
        <f t="shared" si="14"/>
        <v>2009.1714092085167</v>
      </c>
      <c r="H76" s="172">
        <f t="shared" si="14"/>
        <v>1836.0799999999654</v>
      </c>
      <c r="I76" s="172">
        <f>H50+I45-I50</f>
        <v>1743.100999999966</v>
      </c>
      <c r="J76" s="69">
        <v>1198.8646000000001</v>
      </c>
      <c r="K76" s="69">
        <v>1144.7602919999999</v>
      </c>
      <c r="L76" s="69">
        <v>1370.748478</v>
      </c>
      <c r="M76" s="69">
        <v>1515.0078229999999</v>
      </c>
      <c r="N76" s="69">
        <v>1427.9470180000001</v>
      </c>
      <c r="O76" s="69">
        <v>945.25075230000004</v>
      </c>
      <c r="P76" s="69">
        <v>1236.1681329999999</v>
      </c>
      <c r="Q76" s="69">
        <v>1566.476819</v>
      </c>
    </row>
    <row r="77" spans="1:17" ht="33" customHeight="1">
      <c r="A77" s="5" t="s">
        <v>323</v>
      </c>
      <c r="B77" s="395"/>
      <c r="C77" s="171" t="s">
        <v>326</v>
      </c>
      <c r="D77" s="155" t="s">
        <v>112</v>
      </c>
      <c r="E77" s="172">
        <f t="shared" ref="E77:H77" si="15">E76/E50</f>
        <v>0.12136397701331564</v>
      </c>
      <c r="F77" s="172">
        <f t="shared" si="15"/>
        <v>0.11929856823338722</v>
      </c>
      <c r="G77" s="172">
        <f t="shared" si="15"/>
        <v>0.11566958334917558</v>
      </c>
      <c r="H77" s="172">
        <f t="shared" si="15"/>
        <v>0.10396487544576438</v>
      </c>
      <c r="I77" s="172">
        <f>I76/I50</f>
        <v>9.7101982927082234E-2</v>
      </c>
      <c r="J77" s="69">
        <v>6.3487386660000006E-2</v>
      </c>
      <c r="K77" s="69">
        <v>6.1677386660879435E-2</v>
      </c>
      <c r="L77" s="69">
        <v>7.24314552583986E-2</v>
      </c>
      <c r="M77" s="69">
        <v>7.9097205484984195E-2</v>
      </c>
      <c r="N77" s="69">
        <v>7.3877932507202773E-2</v>
      </c>
      <c r="O77" s="69">
        <v>4.8527749786665735E-2</v>
      </c>
      <c r="P77" s="69">
        <v>6.3058260142579703E-2</v>
      </c>
      <c r="Q77" s="69">
        <v>8.0532242743315677E-2</v>
      </c>
    </row>
    <row r="80" spans="1:17" ht="14.4" thickBot="1"/>
    <row r="81" spans="1:2">
      <c r="A81" s="16" t="s">
        <v>20</v>
      </c>
      <c r="B81" s="4" t="s">
        <v>47</v>
      </c>
    </row>
    <row r="82" spans="1:2" ht="27.6">
      <c r="A82" s="123" t="s">
        <v>161</v>
      </c>
      <c r="B82" s="15" t="s">
        <v>162</v>
      </c>
    </row>
    <row r="83" spans="1:2" ht="55.2">
      <c r="A83" s="123" t="s">
        <v>295</v>
      </c>
      <c r="B83" s="15" t="s">
        <v>327</v>
      </c>
    </row>
    <row r="84" spans="1:2" ht="27.6">
      <c r="A84" s="123" t="s">
        <v>299</v>
      </c>
      <c r="B84" s="15" t="s">
        <v>328</v>
      </c>
    </row>
  </sheetData>
  <mergeCells count="11">
    <mergeCell ref="B4:B9"/>
    <mergeCell ref="C4:C9"/>
    <mergeCell ref="B14:B18"/>
    <mergeCell ref="C14:C18"/>
    <mergeCell ref="B23:B24"/>
    <mergeCell ref="C23:C24"/>
    <mergeCell ref="A39:A40"/>
    <mergeCell ref="B39:B40"/>
    <mergeCell ref="C39:C40"/>
    <mergeCell ref="B55:B56"/>
    <mergeCell ref="B76:B77"/>
  </mergeCells>
  <hyperlinks>
    <hyperlink ref="B84" r:id="rId1" xr:uid="{334BDBA9-0992-4017-9E1C-3A35A6F8DCC3}"/>
    <hyperlink ref="B83" r:id="rId2" xr:uid="{F90B41EB-7736-4B2D-A021-135011F866C6}"/>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113A-9764-4B0F-A9CD-72E43FFDB5C7}">
  <dimension ref="A2:DA348"/>
  <sheetViews>
    <sheetView topLeftCell="A303" zoomScale="55" zoomScaleNormal="55" workbookViewId="0">
      <selection activeCell="B3" sqref="B3"/>
    </sheetView>
  </sheetViews>
  <sheetFormatPr baseColWidth="10" defaultColWidth="9.77734375" defaultRowHeight="13.8"/>
  <cols>
    <col min="1" max="1" width="60.6640625" style="3" customWidth="1"/>
    <col min="2" max="2" width="25.5546875" style="3" customWidth="1"/>
    <col min="3" max="3" width="43.109375" style="3" bestFit="1" customWidth="1"/>
    <col min="4" max="4" width="57.109375" style="3" bestFit="1" customWidth="1"/>
    <col min="5" max="5" width="12" style="3" bestFit="1" customWidth="1"/>
    <col min="6" max="6" width="15.33203125" style="3" bestFit="1" customWidth="1"/>
    <col min="7" max="10" width="18.6640625" style="3" bestFit="1" customWidth="1"/>
    <col min="11" max="15" width="16.88671875" style="3" bestFit="1" customWidth="1"/>
    <col min="16" max="16" width="26.21875" style="3" bestFit="1" customWidth="1"/>
    <col min="17" max="70" width="16.88671875" style="3" bestFit="1" customWidth="1"/>
    <col min="71" max="85" width="15.77734375" style="3" bestFit="1" customWidth="1"/>
    <col min="86" max="106" width="14.6640625" style="3" bestFit="1" customWidth="1"/>
    <col min="107" max="16384" width="9.77734375" style="3"/>
  </cols>
  <sheetData>
    <row r="2" spans="1:8" ht="14.4" thickBot="1">
      <c r="A2" s="160" t="s">
        <v>329</v>
      </c>
    </row>
    <row r="3" spans="1:8">
      <c r="B3" s="4" t="s">
        <v>389</v>
      </c>
      <c r="C3" s="4">
        <v>2015</v>
      </c>
      <c r="D3" s="4">
        <v>2016</v>
      </c>
      <c r="E3" s="4">
        <v>2017</v>
      </c>
      <c r="F3" s="4">
        <v>2018</v>
      </c>
      <c r="G3" s="4">
        <v>2019</v>
      </c>
      <c r="H3" s="4">
        <v>2020</v>
      </c>
    </row>
    <row r="4" spans="1:8" ht="13.8" customHeight="1">
      <c r="A4" s="403" t="s">
        <v>330</v>
      </c>
      <c r="B4" s="72">
        <v>0</v>
      </c>
      <c r="C4" s="226">
        <v>0</v>
      </c>
      <c r="D4" s="226">
        <v>0</v>
      </c>
      <c r="E4" s="226">
        <v>0</v>
      </c>
      <c r="F4" s="226">
        <v>0</v>
      </c>
      <c r="G4" s="226">
        <v>0</v>
      </c>
      <c r="H4" s="226">
        <v>0</v>
      </c>
    </row>
    <row r="5" spans="1:8">
      <c r="A5" s="404"/>
      <c r="B5" s="72">
        <v>1</v>
      </c>
      <c r="C5" s="226">
        <v>0</v>
      </c>
      <c r="D5" s="226">
        <v>0</v>
      </c>
      <c r="E5" s="226">
        <v>0</v>
      </c>
      <c r="F5" s="226">
        <v>0</v>
      </c>
      <c r="G5" s="226">
        <v>0</v>
      </c>
      <c r="H5" s="226">
        <v>0</v>
      </c>
    </row>
    <row r="6" spans="1:8">
      <c r="A6" s="404"/>
      <c r="B6" s="72">
        <v>2</v>
      </c>
      <c r="C6" s="226">
        <v>0</v>
      </c>
      <c r="D6" s="226">
        <v>0</v>
      </c>
      <c r="E6" s="226">
        <v>0</v>
      </c>
      <c r="F6" s="226">
        <v>0</v>
      </c>
      <c r="G6" s="226">
        <v>0</v>
      </c>
      <c r="H6" s="226">
        <v>0</v>
      </c>
    </row>
    <row r="7" spans="1:8">
      <c r="A7" s="404"/>
      <c r="B7" s="72">
        <v>3</v>
      </c>
      <c r="C7" s="226">
        <v>0</v>
      </c>
      <c r="D7" s="226">
        <v>0</v>
      </c>
      <c r="E7" s="226">
        <v>0</v>
      </c>
      <c r="F7" s="226">
        <v>0</v>
      </c>
      <c r="G7" s="226">
        <v>0</v>
      </c>
      <c r="H7" s="226">
        <v>0</v>
      </c>
    </row>
    <row r="8" spans="1:8">
      <c r="A8" s="404"/>
      <c r="B8" s="72">
        <v>4</v>
      </c>
      <c r="C8" s="226">
        <v>0</v>
      </c>
      <c r="D8" s="226">
        <v>0</v>
      </c>
      <c r="E8" s="226">
        <v>0</v>
      </c>
      <c r="F8" s="226">
        <v>0</v>
      </c>
      <c r="G8" s="226">
        <v>0</v>
      </c>
      <c r="H8" s="226">
        <v>0</v>
      </c>
    </row>
    <row r="9" spans="1:8">
      <c r="A9" s="404"/>
      <c r="B9" s="72">
        <v>5</v>
      </c>
      <c r="C9" s="226">
        <v>0</v>
      </c>
      <c r="D9" s="226">
        <v>0</v>
      </c>
      <c r="E9" s="226">
        <v>0</v>
      </c>
      <c r="F9" s="226">
        <v>0</v>
      </c>
      <c r="G9" s="226">
        <v>0</v>
      </c>
      <c r="H9" s="226">
        <v>0</v>
      </c>
    </row>
    <row r="10" spans="1:8">
      <c r="A10" s="404"/>
      <c r="B10" s="72">
        <v>6</v>
      </c>
      <c r="C10" s="226">
        <v>0</v>
      </c>
      <c r="D10" s="226">
        <v>0</v>
      </c>
      <c r="E10" s="226">
        <v>0</v>
      </c>
      <c r="F10" s="226">
        <v>0</v>
      </c>
      <c r="G10" s="226">
        <v>0</v>
      </c>
      <c r="H10" s="226">
        <v>0</v>
      </c>
    </row>
    <row r="11" spans="1:8">
      <c r="A11" s="404"/>
      <c r="B11" s="72">
        <v>7</v>
      </c>
      <c r="C11" s="226">
        <v>0</v>
      </c>
      <c r="D11" s="226">
        <v>0</v>
      </c>
      <c r="E11" s="226">
        <v>0</v>
      </c>
      <c r="F11" s="226">
        <v>0</v>
      </c>
      <c r="G11" s="226">
        <v>0</v>
      </c>
      <c r="H11" s="226">
        <v>0</v>
      </c>
    </row>
    <row r="12" spans="1:8">
      <c r="A12" s="404"/>
      <c r="B12" s="72">
        <v>8</v>
      </c>
      <c r="C12" s="226">
        <v>0</v>
      </c>
      <c r="D12" s="226">
        <v>0</v>
      </c>
      <c r="E12" s="226">
        <v>0</v>
      </c>
      <c r="F12" s="226">
        <v>0</v>
      </c>
      <c r="G12" s="226">
        <v>0</v>
      </c>
      <c r="H12" s="226">
        <v>0</v>
      </c>
    </row>
    <row r="13" spans="1:8">
      <c r="A13" s="404"/>
      <c r="B13" s="72">
        <v>9</v>
      </c>
      <c r="C13" s="226">
        <v>0</v>
      </c>
      <c r="D13" s="226">
        <v>0</v>
      </c>
      <c r="E13" s="226">
        <v>0</v>
      </c>
      <c r="F13" s="226">
        <v>0</v>
      </c>
      <c r="G13" s="226">
        <v>0</v>
      </c>
      <c r="H13" s="226">
        <v>0</v>
      </c>
    </row>
    <row r="14" spans="1:8">
      <c r="A14" s="404"/>
      <c r="B14" s="72">
        <v>10</v>
      </c>
      <c r="C14" s="226">
        <v>0</v>
      </c>
      <c r="D14" s="226">
        <v>0</v>
      </c>
      <c r="E14" s="226">
        <v>0</v>
      </c>
      <c r="F14" s="226">
        <v>0</v>
      </c>
      <c r="G14" s="226">
        <v>0</v>
      </c>
      <c r="H14" s="226">
        <v>0</v>
      </c>
    </row>
    <row r="15" spans="1:8">
      <c r="A15" s="404"/>
      <c r="B15" s="72">
        <v>11</v>
      </c>
      <c r="C15" s="226">
        <v>0</v>
      </c>
      <c r="D15" s="226">
        <v>0</v>
      </c>
      <c r="E15" s="226">
        <v>0</v>
      </c>
      <c r="F15" s="226">
        <v>0</v>
      </c>
      <c r="G15" s="226">
        <v>0</v>
      </c>
      <c r="H15" s="226">
        <v>0</v>
      </c>
    </row>
    <row r="16" spans="1:8">
      <c r="A16" s="404"/>
      <c r="B16" s="72">
        <v>12</v>
      </c>
      <c r="C16" s="226">
        <v>0</v>
      </c>
      <c r="D16" s="226">
        <v>0</v>
      </c>
      <c r="E16" s="226">
        <v>0</v>
      </c>
      <c r="F16" s="226">
        <v>0</v>
      </c>
      <c r="G16" s="226">
        <v>0</v>
      </c>
      <c r="H16" s="226">
        <v>0</v>
      </c>
    </row>
    <row r="17" spans="1:8">
      <c r="A17" s="404"/>
      <c r="B17" s="72">
        <v>13</v>
      </c>
      <c r="C17" s="226">
        <v>0</v>
      </c>
      <c r="D17" s="226">
        <v>0</v>
      </c>
      <c r="E17" s="226">
        <v>0</v>
      </c>
      <c r="F17" s="226">
        <v>0</v>
      </c>
      <c r="G17" s="226">
        <v>0</v>
      </c>
      <c r="H17" s="226">
        <v>0</v>
      </c>
    </row>
    <row r="18" spans="1:8">
      <c r="A18" s="404"/>
      <c r="B18" s="72">
        <v>14</v>
      </c>
      <c r="C18" s="226">
        <v>0</v>
      </c>
      <c r="D18" s="226">
        <v>0</v>
      </c>
      <c r="E18" s="226">
        <v>0</v>
      </c>
      <c r="F18" s="226">
        <v>0</v>
      </c>
      <c r="G18" s="226">
        <v>0</v>
      </c>
      <c r="H18" s="226">
        <v>0</v>
      </c>
    </row>
    <row r="19" spans="1:8">
      <c r="A19" s="404"/>
      <c r="B19" s="72">
        <v>15</v>
      </c>
      <c r="C19" s="227">
        <v>21.594999999999999</v>
      </c>
      <c r="D19" s="227">
        <v>18.888999999999999</v>
      </c>
      <c r="E19" s="227">
        <v>15.930999999999999</v>
      </c>
      <c r="F19" s="227">
        <v>13.766</v>
      </c>
      <c r="G19" s="227">
        <v>15.151</v>
      </c>
      <c r="H19" s="227">
        <v>14.933999999999999</v>
      </c>
    </row>
    <row r="20" spans="1:8">
      <c r="A20" s="404"/>
      <c r="B20" s="72">
        <v>16</v>
      </c>
      <c r="C20" s="227">
        <v>44.460999999999999</v>
      </c>
      <c r="D20" s="227">
        <v>39.095999999999997</v>
      </c>
      <c r="E20" s="227">
        <v>33.375999999999998</v>
      </c>
      <c r="F20" s="227">
        <v>29.007000000000001</v>
      </c>
      <c r="G20" s="227">
        <v>31.349</v>
      </c>
      <c r="H20" s="227">
        <v>30.632000000000001</v>
      </c>
    </row>
    <row r="21" spans="1:8">
      <c r="A21" s="404"/>
      <c r="B21" s="72">
        <v>17</v>
      </c>
      <c r="C21" s="227">
        <v>69.204999999999998</v>
      </c>
      <c r="D21" s="227">
        <v>61.8</v>
      </c>
      <c r="E21" s="227">
        <v>54.610999999999997</v>
      </c>
      <c r="F21" s="227">
        <v>48.866999999999997</v>
      </c>
      <c r="G21" s="227">
        <v>51.686999999999998</v>
      </c>
      <c r="H21" s="227">
        <v>50.463999999999999</v>
      </c>
    </row>
    <row r="22" spans="1:8">
      <c r="A22" s="404"/>
      <c r="B22" s="72">
        <v>18</v>
      </c>
      <c r="C22" s="227">
        <v>92.486000000000004</v>
      </c>
      <c r="D22" s="227">
        <v>84.137</v>
      </c>
      <c r="E22" s="227">
        <v>77.349999999999994</v>
      </c>
      <c r="F22" s="227">
        <v>71.522000000000006</v>
      </c>
      <c r="G22" s="227">
        <v>74.192999999999998</v>
      </c>
      <c r="H22" s="227">
        <v>72.572000000000003</v>
      </c>
    </row>
    <row r="23" spans="1:8">
      <c r="A23" s="404"/>
      <c r="B23" s="72">
        <v>19</v>
      </c>
      <c r="C23" s="227">
        <v>106.42400000000001</v>
      </c>
      <c r="D23" s="227">
        <v>98.808999999999997</v>
      </c>
      <c r="E23" s="227">
        <v>94.69</v>
      </c>
      <c r="F23" s="227">
        <v>90.528000000000006</v>
      </c>
      <c r="G23" s="227">
        <v>92.456999999999994</v>
      </c>
      <c r="H23" s="227">
        <v>90.82</v>
      </c>
    </row>
    <row r="24" spans="1:8">
      <c r="A24" s="404"/>
      <c r="B24" s="72">
        <v>20</v>
      </c>
      <c r="C24" s="227">
        <v>110.383</v>
      </c>
      <c r="D24" s="227">
        <v>104.91500000000001</v>
      </c>
      <c r="E24" s="227">
        <v>105.26300000000001</v>
      </c>
      <c r="F24" s="227">
        <v>104.253</v>
      </c>
      <c r="G24" s="227">
        <v>105.039</v>
      </c>
      <c r="H24" s="227">
        <v>103.789</v>
      </c>
    </row>
    <row r="25" spans="1:8">
      <c r="A25" s="404"/>
      <c r="B25" s="72">
        <v>21</v>
      </c>
      <c r="C25" s="227">
        <v>111.172</v>
      </c>
      <c r="D25" s="227">
        <v>107.134</v>
      </c>
      <c r="E25" s="227">
        <v>110.895</v>
      </c>
      <c r="F25" s="227">
        <v>112.57299999999999</v>
      </c>
      <c r="G25" s="227">
        <v>112.782</v>
      </c>
      <c r="H25" s="227">
        <v>112.072</v>
      </c>
    </row>
    <row r="26" spans="1:8">
      <c r="A26" s="404"/>
      <c r="B26" s="72">
        <v>22</v>
      </c>
      <c r="C26" s="227">
        <v>110.27200000000001</v>
      </c>
      <c r="D26" s="227">
        <v>106.672</v>
      </c>
      <c r="E26" s="227">
        <v>112.325</v>
      </c>
      <c r="F26" s="227">
        <v>115.83799999999999</v>
      </c>
      <c r="G26" s="227">
        <v>116.13500000000001</v>
      </c>
      <c r="H26" s="227">
        <v>116.02800000000001</v>
      </c>
    </row>
    <row r="27" spans="1:8">
      <c r="A27" s="404"/>
      <c r="B27" s="72">
        <v>23</v>
      </c>
      <c r="C27" s="227">
        <v>109.087</v>
      </c>
      <c r="D27" s="227">
        <v>105.464</v>
      </c>
      <c r="E27" s="227">
        <v>111.855</v>
      </c>
      <c r="F27" s="227">
        <v>116.26300000000001</v>
      </c>
      <c r="G27" s="227">
        <v>116.92700000000001</v>
      </c>
      <c r="H27" s="227">
        <v>117.285</v>
      </c>
    </row>
    <row r="28" spans="1:8">
      <c r="A28" s="404"/>
      <c r="B28" s="72">
        <v>24</v>
      </c>
      <c r="C28" s="227">
        <v>107.883</v>
      </c>
      <c r="D28" s="227">
        <v>103.997</v>
      </c>
      <c r="E28" s="227">
        <v>110.17400000000001</v>
      </c>
      <c r="F28" s="227">
        <v>114.57899999999999</v>
      </c>
      <c r="G28" s="227">
        <v>115.717</v>
      </c>
      <c r="H28" s="227">
        <v>116.34699999999999</v>
      </c>
    </row>
    <row r="29" spans="1:8">
      <c r="A29" s="404"/>
      <c r="B29" s="72">
        <v>25</v>
      </c>
      <c r="C29" s="227">
        <v>106.571</v>
      </c>
      <c r="D29" s="227">
        <v>102.556</v>
      </c>
      <c r="E29" s="227">
        <v>108.033</v>
      </c>
      <c r="F29" s="227">
        <v>111.79</v>
      </c>
      <c r="G29" s="227">
        <v>113.158</v>
      </c>
      <c r="H29" s="227">
        <v>113.845</v>
      </c>
    </row>
    <row r="30" spans="1:8">
      <c r="A30" s="404"/>
      <c r="B30" s="72">
        <v>26</v>
      </c>
      <c r="C30" s="227">
        <v>104.98399999999999</v>
      </c>
      <c r="D30" s="227">
        <v>101.149</v>
      </c>
      <c r="E30" s="227">
        <v>105.71299999999999</v>
      </c>
      <c r="F30" s="227">
        <v>108.367</v>
      </c>
      <c r="G30" s="227">
        <v>109.574</v>
      </c>
      <c r="H30" s="227">
        <v>110.11499999999999</v>
      </c>
    </row>
    <row r="31" spans="1:8">
      <c r="A31" s="404"/>
      <c r="B31" s="72">
        <v>27</v>
      </c>
      <c r="C31" s="227">
        <v>103.983</v>
      </c>
      <c r="D31" s="227">
        <v>100.32</v>
      </c>
      <c r="E31" s="227">
        <v>103.92400000000001</v>
      </c>
      <c r="F31" s="227">
        <v>105.389</v>
      </c>
      <c r="G31" s="227">
        <v>106.105</v>
      </c>
      <c r="H31" s="227">
        <v>106.4</v>
      </c>
    </row>
    <row r="32" spans="1:8">
      <c r="A32" s="404"/>
      <c r="B32" s="72">
        <v>28</v>
      </c>
      <c r="C32" s="227">
        <v>103.456</v>
      </c>
      <c r="D32" s="227">
        <v>99.932000000000002</v>
      </c>
      <c r="E32" s="227">
        <v>102.616</v>
      </c>
      <c r="F32" s="227">
        <v>102.938</v>
      </c>
      <c r="G32" s="227">
        <v>102.88</v>
      </c>
      <c r="H32" s="227">
        <v>102.872</v>
      </c>
    </row>
    <row r="33" spans="1:8">
      <c r="A33" s="404"/>
      <c r="B33" s="72">
        <v>29</v>
      </c>
      <c r="C33" s="227">
        <v>102.188</v>
      </c>
      <c r="D33" s="227">
        <v>98.906000000000006</v>
      </c>
      <c r="E33" s="227">
        <v>100.884</v>
      </c>
      <c r="F33" s="227">
        <v>100.28400000000001</v>
      </c>
      <c r="G33" s="227">
        <v>99.358999999999995</v>
      </c>
      <c r="H33" s="227">
        <v>99.070999999999998</v>
      </c>
    </row>
    <row r="34" spans="1:8">
      <c r="A34" s="404"/>
      <c r="B34" s="72">
        <v>30</v>
      </c>
      <c r="C34" s="227">
        <v>99.715999999999994</v>
      </c>
      <c r="D34" s="227">
        <v>96.912999999999997</v>
      </c>
      <c r="E34" s="227">
        <v>98.506</v>
      </c>
      <c r="F34" s="227">
        <v>97.263000000000005</v>
      </c>
      <c r="G34" s="227">
        <v>95.421999999999997</v>
      </c>
      <c r="H34" s="227">
        <v>94.897000000000006</v>
      </c>
    </row>
    <row r="35" spans="1:8">
      <c r="A35" s="404"/>
      <c r="B35" s="72">
        <v>31</v>
      </c>
      <c r="C35" s="227">
        <v>97.174000000000007</v>
      </c>
      <c r="D35" s="227">
        <v>94.516000000000005</v>
      </c>
      <c r="E35" s="227">
        <v>95.677999999999997</v>
      </c>
      <c r="F35" s="227">
        <v>94.027000000000001</v>
      </c>
      <c r="G35" s="227">
        <v>91.590999999999994</v>
      </c>
      <c r="H35" s="227">
        <v>90.936999999999998</v>
      </c>
    </row>
    <row r="36" spans="1:8">
      <c r="A36" s="404"/>
      <c r="B36" s="72">
        <v>32</v>
      </c>
      <c r="C36" s="227">
        <v>94.477000000000004</v>
      </c>
      <c r="D36" s="227">
        <v>91.683000000000007</v>
      </c>
      <c r="E36" s="227">
        <v>92.391999999999996</v>
      </c>
      <c r="F36" s="227">
        <v>90.563999999999993</v>
      </c>
      <c r="G36" s="227">
        <v>87.852999999999994</v>
      </c>
      <c r="H36" s="227">
        <v>87.177999999999997</v>
      </c>
    </row>
    <row r="37" spans="1:8">
      <c r="A37" s="404"/>
      <c r="B37" s="72">
        <v>33</v>
      </c>
      <c r="C37" s="227">
        <v>92.111000000000004</v>
      </c>
      <c r="D37" s="227">
        <v>88.638999999999996</v>
      </c>
      <c r="E37" s="227">
        <v>88.688000000000002</v>
      </c>
      <c r="F37" s="227">
        <v>86.82</v>
      </c>
      <c r="G37" s="227">
        <v>84.16</v>
      </c>
      <c r="H37" s="227">
        <v>83.563000000000002</v>
      </c>
    </row>
    <row r="38" spans="1:8">
      <c r="A38" s="404"/>
      <c r="B38" s="72">
        <v>34</v>
      </c>
      <c r="C38" s="227">
        <v>89.722999999999999</v>
      </c>
      <c r="D38" s="227">
        <v>85.2</v>
      </c>
      <c r="E38" s="227">
        <v>84.46</v>
      </c>
      <c r="F38" s="227">
        <v>82.671000000000006</v>
      </c>
      <c r="G38" s="227">
        <v>80.334000000000003</v>
      </c>
      <c r="H38" s="227">
        <v>79.893000000000001</v>
      </c>
    </row>
    <row r="39" spans="1:8">
      <c r="A39" s="404"/>
      <c r="B39" s="72">
        <v>35</v>
      </c>
      <c r="C39" s="227">
        <v>86.051000000000002</v>
      </c>
      <c r="D39" s="227">
        <v>80.697000000000003</v>
      </c>
      <c r="E39" s="227">
        <v>79.337000000000003</v>
      </c>
      <c r="F39" s="227">
        <v>77.721000000000004</v>
      </c>
      <c r="G39" s="227">
        <v>75.819999999999993</v>
      </c>
      <c r="H39" s="227">
        <v>75.555000000000007</v>
      </c>
    </row>
    <row r="40" spans="1:8">
      <c r="A40" s="404"/>
      <c r="B40" s="72">
        <v>36</v>
      </c>
      <c r="C40" s="227">
        <v>79.292000000000002</v>
      </c>
      <c r="D40" s="227">
        <v>74.277000000000001</v>
      </c>
      <c r="E40" s="227">
        <v>73.025000000000006</v>
      </c>
      <c r="F40" s="227">
        <v>71.736999999999995</v>
      </c>
      <c r="G40" s="227">
        <v>70.137</v>
      </c>
      <c r="H40" s="227">
        <v>70.013999999999996</v>
      </c>
    </row>
    <row r="41" spans="1:8">
      <c r="A41" s="404"/>
      <c r="B41" s="72">
        <v>37</v>
      </c>
      <c r="C41" s="227">
        <v>71.435000000000002</v>
      </c>
      <c r="D41" s="227">
        <v>67.113</v>
      </c>
      <c r="E41" s="227">
        <v>66.162000000000006</v>
      </c>
      <c r="F41" s="227">
        <v>65.206999999999994</v>
      </c>
      <c r="G41" s="227">
        <v>63.862000000000002</v>
      </c>
      <c r="H41" s="227">
        <v>63.853000000000002</v>
      </c>
    </row>
    <row r="42" spans="1:8">
      <c r="A42" s="404"/>
      <c r="B42" s="72">
        <v>38</v>
      </c>
      <c r="C42" s="227">
        <v>62.627000000000002</v>
      </c>
      <c r="D42" s="227">
        <v>59.302999999999997</v>
      </c>
      <c r="E42" s="227">
        <v>58.814999999999998</v>
      </c>
      <c r="F42" s="227">
        <v>58.18</v>
      </c>
      <c r="G42" s="227">
        <v>57.03</v>
      </c>
      <c r="H42" s="227">
        <v>57.104999999999997</v>
      </c>
    </row>
    <row r="43" spans="1:8">
      <c r="A43" s="404"/>
      <c r="B43" s="72">
        <v>39</v>
      </c>
      <c r="C43" s="227">
        <v>52.332999999999998</v>
      </c>
      <c r="D43" s="227">
        <v>50.506</v>
      </c>
      <c r="E43" s="227">
        <v>50.78</v>
      </c>
      <c r="F43" s="227">
        <v>50.5</v>
      </c>
      <c r="G43" s="227">
        <v>49.423000000000002</v>
      </c>
      <c r="H43" s="227">
        <v>49.546999999999997</v>
      </c>
    </row>
    <row r="44" spans="1:8">
      <c r="A44" s="404"/>
      <c r="B44" s="72">
        <v>40</v>
      </c>
      <c r="C44" s="227">
        <v>39.686</v>
      </c>
      <c r="D44" s="227">
        <v>40.381999999999998</v>
      </c>
      <c r="E44" s="227">
        <v>42.037999999999997</v>
      </c>
      <c r="F44" s="227">
        <v>42.215000000000003</v>
      </c>
      <c r="G44" s="227">
        <v>40.988</v>
      </c>
      <c r="H44" s="227">
        <v>41.113</v>
      </c>
    </row>
    <row r="45" spans="1:8">
      <c r="A45" s="404"/>
      <c r="B45" s="72">
        <v>41</v>
      </c>
      <c r="C45" s="227">
        <v>29.576000000000001</v>
      </c>
      <c r="D45" s="227">
        <v>31.334</v>
      </c>
      <c r="E45" s="227">
        <v>33.47</v>
      </c>
      <c r="F45" s="227">
        <v>33.863999999999997</v>
      </c>
      <c r="G45" s="227">
        <v>32.725000000000001</v>
      </c>
      <c r="H45" s="227">
        <v>32.856000000000002</v>
      </c>
    </row>
    <row r="46" spans="1:8">
      <c r="A46" s="404"/>
      <c r="B46" s="72">
        <v>42</v>
      </c>
      <c r="C46" s="227">
        <v>20.946999999999999</v>
      </c>
      <c r="D46" s="227">
        <v>23.071000000000002</v>
      </c>
      <c r="E46" s="227">
        <v>25.221</v>
      </c>
      <c r="F46" s="227">
        <v>25.681999999999999</v>
      </c>
      <c r="G46" s="227">
        <v>24.734000000000002</v>
      </c>
      <c r="H46" s="227">
        <v>24.86</v>
      </c>
    </row>
    <row r="47" spans="1:8">
      <c r="A47" s="404"/>
      <c r="B47" s="72">
        <v>43</v>
      </c>
      <c r="C47" s="227">
        <v>13.986000000000001</v>
      </c>
      <c r="D47" s="227">
        <v>16.039000000000001</v>
      </c>
      <c r="E47" s="227">
        <v>17.919</v>
      </c>
      <c r="F47" s="227">
        <v>18.337</v>
      </c>
      <c r="G47" s="227">
        <v>17.606999999999999</v>
      </c>
      <c r="H47" s="227">
        <v>17.716000000000001</v>
      </c>
    </row>
    <row r="48" spans="1:8">
      <c r="A48" s="404"/>
      <c r="B48" s="72">
        <v>44</v>
      </c>
      <c r="C48" s="227">
        <v>8.7409999999999997</v>
      </c>
      <c r="D48" s="227">
        <v>10.385999999999999</v>
      </c>
      <c r="E48" s="227">
        <v>11.79</v>
      </c>
      <c r="F48" s="227">
        <v>12.077999999999999</v>
      </c>
      <c r="G48" s="227">
        <v>11.571999999999999</v>
      </c>
      <c r="H48" s="227">
        <v>11.656000000000001</v>
      </c>
    </row>
    <row r="49" spans="1:8">
      <c r="A49" s="404"/>
      <c r="B49" s="72">
        <v>45</v>
      </c>
      <c r="C49" s="227">
        <v>5.7519999999999998</v>
      </c>
      <c r="D49" s="227">
        <v>6.2619999999999996</v>
      </c>
      <c r="E49" s="227">
        <v>6.7</v>
      </c>
      <c r="F49" s="227">
        <v>6.7039999999999997</v>
      </c>
      <c r="G49" s="227">
        <v>6.5650000000000004</v>
      </c>
      <c r="H49" s="227">
        <v>6.633</v>
      </c>
    </row>
    <row r="50" spans="1:8">
      <c r="A50" s="404"/>
      <c r="B50" s="72">
        <v>46</v>
      </c>
      <c r="C50" s="227">
        <v>3.5569999999999999</v>
      </c>
      <c r="D50" s="227">
        <v>3.714</v>
      </c>
      <c r="E50" s="227">
        <v>3.8340000000000001</v>
      </c>
      <c r="F50" s="227">
        <v>3.7519999999999998</v>
      </c>
      <c r="G50" s="227">
        <v>3.7320000000000002</v>
      </c>
      <c r="H50" s="227">
        <v>3.7770000000000001</v>
      </c>
    </row>
    <row r="51" spans="1:8">
      <c r="A51" s="404"/>
      <c r="B51" s="72">
        <v>47</v>
      </c>
      <c r="C51" s="227">
        <v>2.0059999999999998</v>
      </c>
      <c r="D51" s="227">
        <v>1.9610000000000001</v>
      </c>
      <c r="E51" s="227">
        <v>1.917</v>
      </c>
      <c r="F51" s="227">
        <v>1.81</v>
      </c>
      <c r="G51" s="227">
        <v>1.8560000000000001</v>
      </c>
      <c r="H51" s="227">
        <v>1.889</v>
      </c>
    </row>
    <row r="52" spans="1:8">
      <c r="A52" s="404"/>
      <c r="B52" s="72">
        <v>48</v>
      </c>
      <c r="C52" s="227">
        <v>0.88100000000000001</v>
      </c>
      <c r="D52" s="227">
        <v>0.83</v>
      </c>
      <c r="E52" s="227">
        <v>0.78900000000000003</v>
      </c>
      <c r="F52" s="227">
        <v>0.72299999999999998</v>
      </c>
      <c r="G52" s="227">
        <v>0.77800000000000002</v>
      </c>
      <c r="H52" s="227">
        <v>0.80500000000000005</v>
      </c>
    </row>
    <row r="53" spans="1:8">
      <c r="A53" s="404"/>
      <c r="B53" s="72">
        <v>49</v>
      </c>
      <c r="C53" s="227">
        <v>0.253</v>
      </c>
      <c r="D53" s="227">
        <v>0.22600000000000001</v>
      </c>
      <c r="E53" s="227">
        <v>0.21</v>
      </c>
      <c r="F53" s="227">
        <v>0.182</v>
      </c>
      <c r="G53" s="227">
        <v>0.223</v>
      </c>
      <c r="H53" s="227">
        <v>0.24299999999999999</v>
      </c>
    </row>
    <row r="54" spans="1:8">
      <c r="A54" s="404"/>
      <c r="B54" s="72">
        <v>50</v>
      </c>
      <c r="C54" s="227">
        <v>0</v>
      </c>
      <c r="D54" s="227">
        <v>0</v>
      </c>
      <c r="E54" s="227">
        <v>0</v>
      </c>
      <c r="F54" s="227">
        <v>0</v>
      </c>
      <c r="G54" s="227">
        <v>0</v>
      </c>
      <c r="H54" s="227">
        <v>0</v>
      </c>
    </row>
    <row r="55" spans="1:8">
      <c r="A55" s="404"/>
      <c r="B55" s="72">
        <v>51</v>
      </c>
      <c r="C55" s="227">
        <v>0</v>
      </c>
      <c r="D55" s="227">
        <v>0</v>
      </c>
      <c r="E55" s="227">
        <v>0</v>
      </c>
      <c r="F55" s="227">
        <v>0</v>
      </c>
      <c r="G55" s="227">
        <v>0</v>
      </c>
      <c r="H55" s="227">
        <v>0</v>
      </c>
    </row>
    <row r="56" spans="1:8">
      <c r="A56" s="404"/>
      <c r="B56" s="72">
        <v>52</v>
      </c>
      <c r="C56" s="227">
        <v>0</v>
      </c>
      <c r="D56" s="227">
        <v>0</v>
      </c>
      <c r="E56" s="227">
        <v>0</v>
      </c>
      <c r="F56" s="227">
        <v>0</v>
      </c>
      <c r="G56" s="227">
        <v>0</v>
      </c>
      <c r="H56" s="227">
        <v>0</v>
      </c>
    </row>
    <row r="57" spans="1:8">
      <c r="A57" s="404"/>
      <c r="B57" s="72">
        <v>53</v>
      </c>
      <c r="C57" s="227">
        <v>0</v>
      </c>
      <c r="D57" s="227">
        <v>0</v>
      </c>
      <c r="E57" s="227">
        <v>0</v>
      </c>
      <c r="F57" s="227">
        <v>0</v>
      </c>
      <c r="G57" s="227">
        <v>0</v>
      </c>
      <c r="H57" s="227">
        <v>0</v>
      </c>
    </row>
    <row r="58" spans="1:8">
      <c r="A58" s="404"/>
      <c r="B58" s="72">
        <v>54</v>
      </c>
      <c r="C58" s="227">
        <v>0</v>
      </c>
      <c r="D58" s="227">
        <v>0</v>
      </c>
      <c r="E58" s="227">
        <v>0</v>
      </c>
      <c r="F58" s="227">
        <v>0</v>
      </c>
      <c r="G58" s="227">
        <v>0</v>
      </c>
      <c r="H58" s="227">
        <v>0</v>
      </c>
    </row>
    <row r="59" spans="1:8">
      <c r="A59" s="404"/>
      <c r="B59" s="72">
        <v>55</v>
      </c>
      <c r="C59" s="227">
        <v>0</v>
      </c>
      <c r="D59" s="227">
        <v>0</v>
      </c>
      <c r="E59" s="227">
        <v>0</v>
      </c>
      <c r="F59" s="227">
        <v>0</v>
      </c>
      <c r="G59" s="227">
        <v>0</v>
      </c>
      <c r="H59" s="227">
        <v>0</v>
      </c>
    </row>
    <row r="60" spans="1:8">
      <c r="A60" s="404"/>
      <c r="B60" s="72">
        <v>56</v>
      </c>
      <c r="C60" s="227">
        <v>0</v>
      </c>
      <c r="D60" s="227">
        <v>0</v>
      </c>
      <c r="E60" s="227">
        <v>0</v>
      </c>
      <c r="F60" s="227">
        <v>0</v>
      </c>
      <c r="G60" s="227">
        <v>0</v>
      </c>
      <c r="H60" s="227">
        <v>0</v>
      </c>
    </row>
    <row r="61" spans="1:8">
      <c r="A61" s="404"/>
      <c r="B61" s="72">
        <v>57</v>
      </c>
      <c r="C61" s="227">
        <v>0</v>
      </c>
      <c r="D61" s="227">
        <v>0</v>
      </c>
      <c r="E61" s="227">
        <v>0</v>
      </c>
      <c r="F61" s="227">
        <v>0</v>
      </c>
      <c r="G61" s="227">
        <v>0</v>
      </c>
      <c r="H61" s="227">
        <v>0</v>
      </c>
    </row>
    <row r="62" spans="1:8">
      <c r="A62" s="404"/>
      <c r="B62" s="72">
        <v>58</v>
      </c>
      <c r="C62" s="227">
        <v>0</v>
      </c>
      <c r="D62" s="227">
        <v>0</v>
      </c>
      <c r="E62" s="227">
        <v>0</v>
      </c>
      <c r="F62" s="227">
        <v>0</v>
      </c>
      <c r="G62" s="227">
        <v>0</v>
      </c>
      <c r="H62" s="227">
        <v>0</v>
      </c>
    </row>
    <row r="63" spans="1:8">
      <c r="A63" s="404"/>
      <c r="B63" s="72">
        <v>59</v>
      </c>
      <c r="C63" s="227">
        <v>0</v>
      </c>
      <c r="D63" s="227">
        <v>0</v>
      </c>
      <c r="E63" s="227">
        <v>0</v>
      </c>
      <c r="F63" s="227">
        <v>0</v>
      </c>
      <c r="G63" s="227">
        <v>0</v>
      </c>
      <c r="H63" s="227">
        <v>0</v>
      </c>
    </row>
    <row r="64" spans="1:8">
      <c r="A64" s="404"/>
      <c r="B64" s="72">
        <v>60</v>
      </c>
      <c r="C64" s="227">
        <v>0</v>
      </c>
      <c r="D64" s="227">
        <v>0</v>
      </c>
      <c r="E64" s="227">
        <v>0</v>
      </c>
      <c r="F64" s="227">
        <v>0</v>
      </c>
      <c r="G64" s="227">
        <v>0</v>
      </c>
      <c r="H64" s="227">
        <v>0</v>
      </c>
    </row>
    <row r="65" spans="1:8">
      <c r="A65" s="404"/>
      <c r="B65" s="72">
        <v>61</v>
      </c>
      <c r="C65" s="227">
        <v>0</v>
      </c>
      <c r="D65" s="227">
        <v>0</v>
      </c>
      <c r="E65" s="227">
        <v>0</v>
      </c>
      <c r="F65" s="227">
        <v>0</v>
      </c>
      <c r="G65" s="227">
        <v>0</v>
      </c>
      <c r="H65" s="227">
        <v>0</v>
      </c>
    </row>
    <row r="66" spans="1:8">
      <c r="A66" s="404"/>
      <c r="B66" s="72">
        <v>62</v>
      </c>
      <c r="C66" s="227">
        <v>0</v>
      </c>
      <c r="D66" s="227">
        <v>0</v>
      </c>
      <c r="E66" s="227">
        <v>0</v>
      </c>
      <c r="F66" s="227">
        <v>0</v>
      </c>
      <c r="G66" s="227">
        <v>0</v>
      </c>
      <c r="H66" s="227">
        <v>0</v>
      </c>
    </row>
    <row r="67" spans="1:8">
      <c r="A67" s="404"/>
      <c r="B67" s="72">
        <v>63</v>
      </c>
      <c r="C67" s="227">
        <v>0</v>
      </c>
      <c r="D67" s="227">
        <v>0</v>
      </c>
      <c r="E67" s="227">
        <v>0</v>
      </c>
      <c r="F67" s="227">
        <v>0</v>
      </c>
      <c r="G67" s="227">
        <v>0</v>
      </c>
      <c r="H67" s="227">
        <v>0</v>
      </c>
    </row>
    <row r="68" spans="1:8">
      <c r="A68" s="404"/>
      <c r="B68" s="72">
        <v>64</v>
      </c>
      <c r="C68" s="227">
        <v>0</v>
      </c>
      <c r="D68" s="227">
        <v>0</v>
      </c>
      <c r="E68" s="227">
        <v>0</v>
      </c>
      <c r="F68" s="227">
        <v>0</v>
      </c>
      <c r="G68" s="227">
        <v>0</v>
      </c>
      <c r="H68" s="227">
        <v>0</v>
      </c>
    </row>
    <row r="69" spans="1:8">
      <c r="A69" s="404"/>
      <c r="B69" s="72">
        <v>65</v>
      </c>
      <c r="C69" s="227">
        <v>0</v>
      </c>
      <c r="D69" s="227">
        <v>0</v>
      </c>
      <c r="E69" s="227">
        <v>0</v>
      </c>
      <c r="F69" s="227">
        <v>0</v>
      </c>
      <c r="G69" s="227">
        <v>0</v>
      </c>
      <c r="H69" s="227">
        <v>0</v>
      </c>
    </row>
    <row r="70" spans="1:8">
      <c r="A70" s="404"/>
      <c r="B70" s="72">
        <v>66</v>
      </c>
      <c r="C70" s="227">
        <v>0</v>
      </c>
      <c r="D70" s="227">
        <v>0</v>
      </c>
      <c r="E70" s="227">
        <v>0</v>
      </c>
      <c r="F70" s="227">
        <v>0</v>
      </c>
      <c r="G70" s="227">
        <v>0</v>
      </c>
      <c r="H70" s="227">
        <v>0</v>
      </c>
    </row>
    <row r="71" spans="1:8">
      <c r="A71" s="404"/>
      <c r="B71" s="72">
        <v>67</v>
      </c>
      <c r="C71" s="227">
        <v>0</v>
      </c>
      <c r="D71" s="227">
        <v>0</v>
      </c>
      <c r="E71" s="227">
        <v>0</v>
      </c>
      <c r="F71" s="227">
        <v>0</v>
      </c>
      <c r="G71" s="227">
        <v>0</v>
      </c>
      <c r="H71" s="227">
        <v>0</v>
      </c>
    </row>
    <row r="72" spans="1:8">
      <c r="A72" s="404"/>
      <c r="B72" s="72">
        <v>68</v>
      </c>
      <c r="C72" s="227">
        <v>0</v>
      </c>
      <c r="D72" s="227">
        <v>0</v>
      </c>
      <c r="E72" s="227">
        <v>0</v>
      </c>
      <c r="F72" s="227">
        <v>0</v>
      </c>
      <c r="G72" s="227">
        <v>0</v>
      </c>
      <c r="H72" s="227">
        <v>0</v>
      </c>
    </row>
    <row r="73" spans="1:8">
      <c r="A73" s="404"/>
      <c r="B73" s="72">
        <v>69</v>
      </c>
      <c r="C73" s="227">
        <v>0</v>
      </c>
      <c r="D73" s="227">
        <v>0</v>
      </c>
      <c r="E73" s="227">
        <v>0</v>
      </c>
      <c r="F73" s="227">
        <v>0</v>
      </c>
      <c r="G73" s="227">
        <v>0</v>
      </c>
      <c r="H73" s="227">
        <v>0</v>
      </c>
    </row>
    <row r="74" spans="1:8">
      <c r="A74" s="404"/>
      <c r="B74" s="72">
        <v>70</v>
      </c>
      <c r="C74" s="227">
        <v>0</v>
      </c>
      <c r="D74" s="227">
        <v>0</v>
      </c>
      <c r="E74" s="227">
        <v>0</v>
      </c>
      <c r="F74" s="227">
        <v>0</v>
      </c>
      <c r="G74" s="227">
        <v>0</v>
      </c>
      <c r="H74" s="227">
        <v>0</v>
      </c>
    </row>
    <row r="75" spans="1:8">
      <c r="A75" s="404"/>
      <c r="B75" s="72">
        <v>71</v>
      </c>
      <c r="C75" s="227">
        <v>0</v>
      </c>
      <c r="D75" s="227">
        <v>0</v>
      </c>
      <c r="E75" s="227">
        <v>0</v>
      </c>
      <c r="F75" s="227">
        <v>0</v>
      </c>
      <c r="G75" s="227">
        <v>0</v>
      </c>
      <c r="H75" s="227">
        <v>0</v>
      </c>
    </row>
    <row r="76" spans="1:8">
      <c r="A76" s="404"/>
      <c r="B76" s="72">
        <v>72</v>
      </c>
      <c r="C76" s="227">
        <v>0</v>
      </c>
      <c r="D76" s="227">
        <v>0</v>
      </c>
      <c r="E76" s="227">
        <v>0</v>
      </c>
      <c r="F76" s="227">
        <v>0</v>
      </c>
      <c r="G76" s="227">
        <v>0</v>
      </c>
      <c r="H76" s="227">
        <v>0</v>
      </c>
    </row>
    <row r="77" spans="1:8">
      <c r="A77" s="404"/>
      <c r="B77" s="72">
        <v>73</v>
      </c>
      <c r="C77" s="227">
        <v>0</v>
      </c>
      <c r="D77" s="227">
        <v>0</v>
      </c>
      <c r="E77" s="227">
        <v>0</v>
      </c>
      <c r="F77" s="227">
        <v>0</v>
      </c>
      <c r="G77" s="227">
        <v>0</v>
      </c>
      <c r="H77" s="227">
        <v>0</v>
      </c>
    </row>
    <row r="78" spans="1:8">
      <c r="A78" s="404"/>
      <c r="B78" s="72">
        <v>74</v>
      </c>
      <c r="C78" s="227">
        <v>0</v>
      </c>
      <c r="D78" s="227">
        <v>0</v>
      </c>
      <c r="E78" s="227">
        <v>0</v>
      </c>
      <c r="F78" s="227">
        <v>0</v>
      </c>
      <c r="G78" s="227">
        <v>0</v>
      </c>
      <c r="H78" s="227">
        <v>0</v>
      </c>
    </row>
    <row r="79" spans="1:8">
      <c r="A79" s="404"/>
      <c r="B79" s="72">
        <v>75</v>
      </c>
      <c r="C79" s="227">
        <v>0</v>
      </c>
      <c r="D79" s="227">
        <v>0</v>
      </c>
      <c r="E79" s="227">
        <v>0</v>
      </c>
      <c r="F79" s="227">
        <v>0</v>
      </c>
      <c r="G79" s="227">
        <v>0</v>
      </c>
      <c r="H79" s="227">
        <v>0</v>
      </c>
    </row>
    <row r="80" spans="1:8">
      <c r="A80" s="404"/>
      <c r="B80" s="72">
        <v>76</v>
      </c>
      <c r="C80" s="227">
        <v>0</v>
      </c>
      <c r="D80" s="227">
        <v>0</v>
      </c>
      <c r="E80" s="227">
        <v>0</v>
      </c>
      <c r="F80" s="227">
        <v>0</v>
      </c>
      <c r="G80" s="227">
        <v>0</v>
      </c>
      <c r="H80" s="227">
        <v>0</v>
      </c>
    </row>
    <row r="81" spans="1:8">
      <c r="A81" s="404"/>
      <c r="B81" s="72">
        <v>77</v>
      </c>
      <c r="C81" s="227">
        <v>0</v>
      </c>
      <c r="D81" s="227">
        <v>0</v>
      </c>
      <c r="E81" s="227">
        <v>0</v>
      </c>
      <c r="F81" s="227">
        <v>0</v>
      </c>
      <c r="G81" s="227">
        <v>0</v>
      </c>
      <c r="H81" s="227">
        <v>0</v>
      </c>
    </row>
    <row r="82" spans="1:8">
      <c r="A82" s="404"/>
      <c r="B82" s="72">
        <v>78</v>
      </c>
      <c r="C82" s="227">
        <v>0</v>
      </c>
      <c r="D82" s="227">
        <v>0</v>
      </c>
      <c r="E82" s="227">
        <v>0</v>
      </c>
      <c r="F82" s="227">
        <v>0</v>
      </c>
      <c r="G82" s="227">
        <v>0</v>
      </c>
      <c r="H82" s="227">
        <v>0</v>
      </c>
    </row>
    <row r="83" spans="1:8">
      <c r="A83" s="404"/>
      <c r="B83" s="72">
        <v>79</v>
      </c>
      <c r="C83" s="227">
        <v>0</v>
      </c>
      <c r="D83" s="227">
        <v>0</v>
      </c>
      <c r="E83" s="227">
        <v>0</v>
      </c>
      <c r="F83" s="227">
        <v>0</v>
      </c>
      <c r="G83" s="227">
        <v>0</v>
      </c>
      <c r="H83" s="227">
        <v>0</v>
      </c>
    </row>
    <row r="84" spans="1:8">
      <c r="A84" s="404"/>
      <c r="B84" s="72">
        <v>80</v>
      </c>
      <c r="C84" s="227">
        <v>0</v>
      </c>
      <c r="D84" s="227">
        <v>0</v>
      </c>
      <c r="E84" s="227">
        <v>0</v>
      </c>
      <c r="F84" s="227">
        <v>0</v>
      </c>
      <c r="G84" s="227">
        <v>0</v>
      </c>
      <c r="H84" s="227">
        <v>0</v>
      </c>
    </row>
    <row r="85" spans="1:8">
      <c r="A85" s="404"/>
      <c r="B85" s="72">
        <v>81</v>
      </c>
      <c r="C85" s="227">
        <v>0</v>
      </c>
      <c r="D85" s="227">
        <v>0</v>
      </c>
      <c r="E85" s="227">
        <v>0</v>
      </c>
      <c r="F85" s="227">
        <v>0</v>
      </c>
      <c r="G85" s="227">
        <v>0</v>
      </c>
      <c r="H85" s="227">
        <v>0</v>
      </c>
    </row>
    <row r="86" spans="1:8">
      <c r="A86" s="404"/>
      <c r="B86" s="72">
        <v>82</v>
      </c>
      <c r="C86" s="227">
        <v>0</v>
      </c>
      <c r="D86" s="227">
        <v>0</v>
      </c>
      <c r="E86" s="227">
        <v>0</v>
      </c>
      <c r="F86" s="227">
        <v>0</v>
      </c>
      <c r="G86" s="227">
        <v>0</v>
      </c>
      <c r="H86" s="227">
        <v>0</v>
      </c>
    </row>
    <row r="87" spans="1:8">
      <c r="A87" s="404"/>
      <c r="B87" s="72">
        <v>83</v>
      </c>
      <c r="C87" s="227">
        <v>0</v>
      </c>
      <c r="D87" s="227">
        <v>0</v>
      </c>
      <c r="E87" s="227">
        <v>0</v>
      </c>
      <c r="F87" s="227">
        <v>0</v>
      </c>
      <c r="G87" s="227">
        <v>0</v>
      </c>
      <c r="H87" s="227">
        <v>0</v>
      </c>
    </row>
    <row r="88" spans="1:8">
      <c r="A88" s="404"/>
      <c r="B88" s="72">
        <v>84</v>
      </c>
      <c r="C88" s="227">
        <v>0</v>
      </c>
      <c r="D88" s="227">
        <v>0</v>
      </c>
      <c r="E88" s="227">
        <v>0</v>
      </c>
      <c r="F88" s="227">
        <v>0</v>
      </c>
      <c r="G88" s="227">
        <v>0</v>
      </c>
      <c r="H88" s="227">
        <v>0</v>
      </c>
    </row>
    <row r="89" spans="1:8">
      <c r="A89" s="404"/>
      <c r="B89" s="72">
        <v>85</v>
      </c>
      <c r="C89" s="227">
        <v>0</v>
      </c>
      <c r="D89" s="227">
        <v>0</v>
      </c>
      <c r="E89" s="227">
        <v>0</v>
      </c>
      <c r="F89" s="227">
        <v>0</v>
      </c>
      <c r="G89" s="227">
        <v>0</v>
      </c>
      <c r="H89" s="227">
        <v>0</v>
      </c>
    </row>
    <row r="90" spans="1:8">
      <c r="A90" s="404"/>
      <c r="B90" s="72">
        <v>86</v>
      </c>
      <c r="C90" s="227">
        <v>0</v>
      </c>
      <c r="D90" s="227">
        <v>0</v>
      </c>
      <c r="E90" s="227">
        <v>0</v>
      </c>
      <c r="F90" s="227">
        <v>0</v>
      </c>
      <c r="G90" s="227">
        <v>0</v>
      </c>
      <c r="H90" s="227">
        <v>0</v>
      </c>
    </row>
    <row r="91" spans="1:8">
      <c r="A91" s="404"/>
      <c r="B91" s="72">
        <v>87</v>
      </c>
      <c r="C91" s="227">
        <v>0</v>
      </c>
      <c r="D91" s="227">
        <v>0</v>
      </c>
      <c r="E91" s="227">
        <v>0</v>
      </c>
      <c r="F91" s="227">
        <v>0</v>
      </c>
      <c r="G91" s="227">
        <v>0</v>
      </c>
      <c r="H91" s="227">
        <v>0</v>
      </c>
    </row>
    <row r="92" spans="1:8">
      <c r="A92" s="404"/>
      <c r="B92" s="72">
        <v>88</v>
      </c>
      <c r="C92" s="227">
        <v>0</v>
      </c>
      <c r="D92" s="227">
        <v>0</v>
      </c>
      <c r="E92" s="227">
        <v>0</v>
      </c>
      <c r="F92" s="227">
        <v>0</v>
      </c>
      <c r="G92" s="227">
        <v>0</v>
      </c>
      <c r="H92" s="227">
        <v>0</v>
      </c>
    </row>
    <row r="93" spans="1:8">
      <c r="A93" s="404"/>
      <c r="B93" s="72">
        <v>89</v>
      </c>
      <c r="C93" s="227">
        <v>0</v>
      </c>
      <c r="D93" s="227">
        <v>0</v>
      </c>
      <c r="E93" s="227">
        <v>0</v>
      </c>
      <c r="F93" s="227">
        <v>0</v>
      </c>
      <c r="G93" s="227">
        <v>0</v>
      </c>
      <c r="H93" s="227">
        <v>0</v>
      </c>
    </row>
    <row r="94" spans="1:8">
      <c r="A94" s="404"/>
      <c r="B94" s="72">
        <v>90</v>
      </c>
      <c r="C94" s="227">
        <v>0</v>
      </c>
      <c r="D94" s="227">
        <v>0</v>
      </c>
      <c r="E94" s="227">
        <v>0</v>
      </c>
      <c r="F94" s="227">
        <v>0</v>
      </c>
      <c r="G94" s="227">
        <v>0</v>
      </c>
      <c r="H94" s="227">
        <v>0</v>
      </c>
    </row>
    <row r="95" spans="1:8">
      <c r="A95" s="404"/>
      <c r="B95" s="72">
        <v>91</v>
      </c>
      <c r="C95" s="227">
        <v>0</v>
      </c>
      <c r="D95" s="227">
        <v>0</v>
      </c>
      <c r="E95" s="227">
        <v>0</v>
      </c>
      <c r="F95" s="227">
        <v>0</v>
      </c>
      <c r="G95" s="227">
        <v>0</v>
      </c>
      <c r="H95" s="227">
        <v>0</v>
      </c>
    </row>
    <row r="96" spans="1:8">
      <c r="A96" s="404"/>
      <c r="B96" s="72">
        <v>92</v>
      </c>
      <c r="C96" s="227">
        <v>0</v>
      </c>
      <c r="D96" s="227">
        <v>0</v>
      </c>
      <c r="E96" s="227">
        <v>0</v>
      </c>
      <c r="F96" s="227">
        <v>0</v>
      </c>
      <c r="G96" s="227">
        <v>0</v>
      </c>
      <c r="H96" s="227">
        <v>0</v>
      </c>
    </row>
    <row r="97" spans="1:8">
      <c r="A97" s="404"/>
      <c r="B97" s="72">
        <v>93</v>
      </c>
      <c r="C97" s="227">
        <v>0</v>
      </c>
      <c r="D97" s="227">
        <v>0</v>
      </c>
      <c r="E97" s="227">
        <v>0</v>
      </c>
      <c r="F97" s="227">
        <v>0</v>
      </c>
      <c r="G97" s="227">
        <v>0</v>
      </c>
      <c r="H97" s="227">
        <v>0</v>
      </c>
    </row>
    <row r="98" spans="1:8">
      <c r="A98" s="404"/>
      <c r="B98" s="72">
        <v>94</v>
      </c>
      <c r="C98" s="227">
        <v>0</v>
      </c>
      <c r="D98" s="227">
        <v>0</v>
      </c>
      <c r="E98" s="227">
        <v>0</v>
      </c>
      <c r="F98" s="227">
        <v>0</v>
      </c>
      <c r="G98" s="227">
        <v>0</v>
      </c>
      <c r="H98" s="227">
        <v>0</v>
      </c>
    </row>
    <row r="99" spans="1:8">
      <c r="A99" s="404"/>
      <c r="B99" s="72">
        <v>95</v>
      </c>
      <c r="C99" s="227">
        <v>0</v>
      </c>
      <c r="D99" s="227">
        <v>0</v>
      </c>
      <c r="E99" s="227">
        <v>0</v>
      </c>
      <c r="F99" s="227">
        <v>0</v>
      </c>
      <c r="G99" s="227">
        <v>0</v>
      </c>
      <c r="H99" s="227">
        <v>0</v>
      </c>
    </row>
    <row r="100" spans="1:8">
      <c r="A100" s="404"/>
      <c r="B100" s="72">
        <v>96</v>
      </c>
      <c r="C100" s="227">
        <v>0</v>
      </c>
      <c r="D100" s="227">
        <v>0</v>
      </c>
      <c r="E100" s="227">
        <v>0</v>
      </c>
      <c r="F100" s="227">
        <v>0</v>
      </c>
      <c r="G100" s="227">
        <v>0</v>
      </c>
      <c r="H100" s="227">
        <v>0</v>
      </c>
    </row>
    <row r="101" spans="1:8">
      <c r="A101" s="404"/>
      <c r="B101" s="72">
        <v>97</v>
      </c>
      <c r="C101" s="227">
        <v>0</v>
      </c>
      <c r="D101" s="227">
        <v>0</v>
      </c>
      <c r="E101" s="227">
        <v>0</v>
      </c>
      <c r="F101" s="227">
        <v>0</v>
      </c>
      <c r="G101" s="227">
        <v>0</v>
      </c>
      <c r="H101" s="227">
        <v>0</v>
      </c>
    </row>
    <row r="102" spans="1:8">
      <c r="A102" s="404"/>
      <c r="B102" s="72">
        <v>98</v>
      </c>
      <c r="C102" s="227">
        <v>0</v>
      </c>
      <c r="D102" s="227">
        <v>0</v>
      </c>
      <c r="E102" s="227">
        <v>0</v>
      </c>
      <c r="F102" s="227">
        <v>0</v>
      </c>
      <c r="G102" s="227">
        <v>0</v>
      </c>
      <c r="H102" s="227">
        <v>0</v>
      </c>
    </row>
    <row r="103" spans="1:8">
      <c r="A103" s="404"/>
      <c r="B103" s="72">
        <v>99</v>
      </c>
      <c r="C103" s="227">
        <v>0</v>
      </c>
      <c r="D103" s="227">
        <v>0</v>
      </c>
      <c r="E103" s="227">
        <v>0</v>
      </c>
      <c r="F103" s="227">
        <v>0</v>
      </c>
      <c r="G103" s="227">
        <v>0</v>
      </c>
      <c r="H103" s="227">
        <v>0</v>
      </c>
    </row>
    <row r="104" spans="1:8">
      <c r="A104" s="405"/>
      <c r="B104" s="72">
        <v>100</v>
      </c>
      <c r="C104" s="227">
        <v>0</v>
      </c>
      <c r="D104" s="227">
        <v>0</v>
      </c>
      <c r="E104" s="227">
        <v>0</v>
      </c>
      <c r="F104" s="227">
        <v>0</v>
      </c>
      <c r="G104" s="227">
        <v>0</v>
      </c>
      <c r="H104" s="227">
        <v>0</v>
      </c>
    </row>
    <row r="107" spans="1:8" ht="14.4" thickBot="1">
      <c r="A107" s="160" t="s">
        <v>331</v>
      </c>
    </row>
    <row r="108" spans="1:8">
      <c r="B108" s="4" t="s">
        <v>389</v>
      </c>
      <c r="C108" s="4">
        <v>2015</v>
      </c>
      <c r="D108" s="4">
        <v>2016</v>
      </c>
      <c r="E108" s="4">
        <v>2017</v>
      </c>
      <c r="F108" s="4">
        <v>2018</v>
      </c>
      <c r="G108" s="4">
        <v>2019</v>
      </c>
      <c r="H108" s="4">
        <v>2020</v>
      </c>
    </row>
    <row r="109" spans="1:8" ht="13.8" customHeight="1">
      <c r="A109" s="403" t="s">
        <v>332</v>
      </c>
      <c r="B109" s="72">
        <v>0</v>
      </c>
      <c r="C109" s="227">
        <v>0.52393851114356682</v>
      </c>
      <c r="D109" s="227">
        <v>0.46388952488774077</v>
      </c>
      <c r="E109" s="227">
        <v>0.42246423286120866</v>
      </c>
      <c r="F109" s="227">
        <v>0.44992284731752491</v>
      </c>
      <c r="G109" s="227">
        <v>0.48928751427298978</v>
      </c>
      <c r="H109" s="227">
        <v>0.3753222915415878</v>
      </c>
    </row>
    <row r="110" spans="1:8">
      <c r="A110" s="404"/>
      <c r="B110" s="72">
        <v>1</v>
      </c>
      <c r="C110" s="227">
        <v>9.2689435875685927E-2</v>
      </c>
      <c r="D110" s="227">
        <v>8.4636516606575021E-2</v>
      </c>
      <c r="E110" s="227">
        <v>7.3393069753436097E-2</v>
      </c>
      <c r="F110" s="227">
        <v>6.5603404942495003E-2</v>
      </c>
      <c r="G110" s="227">
        <v>6.4797447625606006E-2</v>
      </c>
      <c r="H110" s="227">
        <v>5.5321793805796708E-2</v>
      </c>
    </row>
    <row r="111" spans="1:8">
      <c r="A111" s="404"/>
      <c r="B111" s="72">
        <v>2</v>
      </c>
      <c r="C111" s="227">
        <v>5.5661616148554929E-2</v>
      </c>
      <c r="D111" s="227">
        <v>5.2206652928865303E-2</v>
      </c>
      <c r="E111" s="227">
        <v>4.6417248515005408E-2</v>
      </c>
      <c r="F111" s="227">
        <v>4.1407598175106572E-2</v>
      </c>
      <c r="G111" s="227">
        <v>3.967988497133642E-2</v>
      </c>
      <c r="H111" s="227">
        <v>3.3770347175364604E-2</v>
      </c>
    </row>
    <row r="112" spans="1:8">
      <c r="A112" s="404"/>
      <c r="B112" s="72">
        <v>3</v>
      </c>
      <c r="C112" s="227">
        <v>3.421904894301931E-2</v>
      </c>
      <c r="D112" s="227">
        <v>3.2429863677709704E-2</v>
      </c>
      <c r="E112" s="227">
        <v>2.9094869540202666E-2</v>
      </c>
      <c r="F112" s="227">
        <v>2.7141671066017101E-2</v>
      </c>
      <c r="G112" s="227">
        <v>2.5345607970196821E-2</v>
      </c>
      <c r="H112" s="227">
        <v>2.1102458158964776E-2</v>
      </c>
    </row>
    <row r="113" spans="1:8">
      <c r="A113" s="404"/>
      <c r="B113" s="72">
        <v>4</v>
      </c>
      <c r="C113" s="227">
        <v>2.195636673921459E-2</v>
      </c>
      <c r="D113" s="227">
        <v>2.0964075055255854E-2</v>
      </c>
      <c r="E113" s="227">
        <v>1.8701442155321019E-2</v>
      </c>
      <c r="F113" s="227">
        <v>1.8072380978104069E-2</v>
      </c>
      <c r="G113" s="227">
        <v>1.7103398694541559E-2</v>
      </c>
      <c r="H113" s="227">
        <v>1.3918642615487404E-2</v>
      </c>
    </row>
    <row r="114" spans="1:8">
      <c r="A114" s="404"/>
      <c r="B114" s="72">
        <v>5</v>
      </c>
      <c r="C114" s="227">
        <v>1.5174212894652206E-2</v>
      </c>
      <c r="D114" s="227">
        <v>1.4349197003840172E-2</v>
      </c>
      <c r="E114" s="227">
        <v>1.274792549796163E-2</v>
      </c>
      <c r="F114" s="227">
        <v>1.2577847567178656E-2</v>
      </c>
      <c r="G114" s="227">
        <v>1.198866803731675E-2</v>
      </c>
      <c r="H114" s="227">
        <v>9.8777463722813843E-3</v>
      </c>
    </row>
    <row r="115" spans="1:8">
      <c r="A115" s="404"/>
      <c r="B115" s="72">
        <v>6</v>
      </c>
      <c r="C115" s="227">
        <v>1.1577616158899426E-2</v>
      </c>
      <c r="D115" s="227">
        <v>1.0719494688447977E-2</v>
      </c>
      <c r="E115" s="227">
        <v>9.4179924523199367E-3</v>
      </c>
      <c r="F115" s="227">
        <v>9.466485274244988E-3</v>
      </c>
      <c r="G115" s="227">
        <v>8.9915010279875626E-3</v>
      </c>
      <c r="H115" s="227">
        <v>7.5365921996302767E-3</v>
      </c>
    </row>
    <row r="116" spans="1:8">
      <c r="A116" s="404"/>
      <c r="B116" s="72">
        <v>7</v>
      </c>
      <c r="C116" s="227">
        <v>9.4196581174477555E-3</v>
      </c>
      <c r="D116" s="227">
        <v>8.8876823049790186E-3</v>
      </c>
      <c r="E116" s="227">
        <v>7.7025723985045206E-3</v>
      </c>
      <c r="F116" s="227">
        <v>7.7784057323341694E-3</v>
      </c>
      <c r="G116" s="227">
        <v>7.3626059142216996E-3</v>
      </c>
      <c r="H116" s="227">
        <v>6.2537679954378887E-3</v>
      </c>
    </row>
    <row r="117" spans="1:8">
      <c r="A117" s="404"/>
      <c r="B117" s="72">
        <v>8</v>
      </c>
      <c r="C117" s="227">
        <v>8.1865392366182316E-3</v>
      </c>
      <c r="D117" s="227">
        <v>7.8360863070616529E-3</v>
      </c>
      <c r="E117" s="227">
        <v>7.0298586519102393E-3</v>
      </c>
      <c r="F117" s="227">
        <v>7.0502145573922469E-3</v>
      </c>
      <c r="G117" s="227">
        <v>6.5807362596140848E-3</v>
      </c>
      <c r="H117" s="227">
        <v>5.6764971035513151E-3</v>
      </c>
    </row>
    <row r="118" spans="1:8">
      <c r="A118" s="404"/>
      <c r="B118" s="72">
        <v>9</v>
      </c>
      <c r="C118" s="227">
        <v>7.8782595164108519E-3</v>
      </c>
      <c r="D118" s="227">
        <v>7.3272495338758325E-3</v>
      </c>
      <c r="E118" s="227">
        <v>6.8280445279319544E-3</v>
      </c>
      <c r="F118" s="227">
        <v>7.1164137551142396E-3</v>
      </c>
      <c r="G118" s="227">
        <v>6.4830025527881328E-3</v>
      </c>
      <c r="H118" s="227">
        <v>5.6123558933416952E-3</v>
      </c>
    </row>
    <row r="119" spans="1:8">
      <c r="A119" s="404"/>
      <c r="B119" s="72">
        <v>10</v>
      </c>
      <c r="C119" s="227">
        <v>8.0495260276371751E-3</v>
      </c>
      <c r="D119" s="227">
        <v>7.4629393400587182E-3</v>
      </c>
      <c r="E119" s="227">
        <v>6.9289515899210972E-3</v>
      </c>
      <c r="F119" s="227">
        <v>7.4805093425852004E-3</v>
      </c>
      <c r="G119" s="227">
        <v>6.9065152823672574E-3</v>
      </c>
      <c r="H119" s="227">
        <v>6.0292737597042213E-3</v>
      </c>
    </row>
    <row r="120" spans="1:8">
      <c r="A120" s="404"/>
      <c r="B120" s="72">
        <v>11</v>
      </c>
      <c r="C120" s="227">
        <v>8.631832165806673E-3</v>
      </c>
      <c r="D120" s="227">
        <v>7.9717761132445403E-3</v>
      </c>
      <c r="E120" s="227">
        <v>7.6016653365153786E-3</v>
      </c>
      <c r="F120" s="227">
        <v>8.1756009186661274E-3</v>
      </c>
      <c r="G120" s="227">
        <v>7.7209628392501889E-3</v>
      </c>
      <c r="H120" s="227">
        <v>6.8951800975340831E-3</v>
      </c>
    </row>
    <row r="121" spans="1:8">
      <c r="A121" s="404"/>
      <c r="B121" s="72">
        <v>12</v>
      </c>
      <c r="C121" s="227">
        <v>9.5909246286740805E-3</v>
      </c>
      <c r="D121" s="227">
        <v>8.853759853433299E-3</v>
      </c>
      <c r="E121" s="227">
        <v>8.577100269077086E-3</v>
      </c>
      <c r="F121" s="227">
        <v>9.3340868788010026E-3</v>
      </c>
      <c r="G121" s="227">
        <v>8.7960336143356587E-3</v>
      </c>
      <c r="H121" s="227">
        <v>8.0497218813072313E-3</v>
      </c>
    </row>
    <row r="122" spans="1:8">
      <c r="A122" s="404"/>
      <c r="B122" s="72">
        <v>13</v>
      </c>
      <c r="C122" s="227">
        <v>1.1166576531956251E-2</v>
      </c>
      <c r="D122" s="227">
        <v>1.0142813012170713E-2</v>
      </c>
      <c r="E122" s="227">
        <v>9.8888920749359357E-3</v>
      </c>
      <c r="F122" s="227">
        <v>1.075736962982385E-2</v>
      </c>
      <c r="G122" s="227">
        <v>1.0327195021275571E-2</v>
      </c>
      <c r="H122" s="227">
        <v>9.4608285059188581E-3</v>
      </c>
    </row>
    <row r="123" spans="1:8">
      <c r="A123" s="404"/>
      <c r="B123" s="72">
        <v>14</v>
      </c>
      <c r="C123" s="227">
        <v>1.3290281271162652E-2</v>
      </c>
      <c r="D123" s="227">
        <v>1.2076392750276835E-2</v>
      </c>
      <c r="E123" s="227">
        <v>1.1604312128751352E-2</v>
      </c>
      <c r="F123" s="227">
        <v>1.2412349572873673E-2</v>
      </c>
      <c r="G123" s="227">
        <v>1.2053823841867383E-2</v>
      </c>
      <c r="H123" s="227">
        <v>1.119264118157858E-2</v>
      </c>
    </row>
    <row r="124" spans="1:8">
      <c r="A124" s="404"/>
      <c r="B124" s="72">
        <v>15</v>
      </c>
      <c r="C124" s="227">
        <v>1.589353224180276E-2</v>
      </c>
      <c r="D124" s="227">
        <v>1.4654499067751665E-2</v>
      </c>
      <c r="E124" s="227">
        <v>1.3925174554501622E-2</v>
      </c>
      <c r="F124" s="227">
        <v>1.4332126306811469E-2</v>
      </c>
      <c r="G124" s="227">
        <v>1.3943342173835785E-2</v>
      </c>
      <c r="H124" s="227">
        <v>1.2956524462343114E-2</v>
      </c>
    </row>
    <row r="125" spans="1:8">
      <c r="A125" s="404"/>
      <c r="B125" s="72">
        <v>16</v>
      </c>
      <c r="C125" s="227">
        <v>1.887356953714078E-2</v>
      </c>
      <c r="D125" s="227">
        <v>1.78771319645952E-2</v>
      </c>
      <c r="E125" s="227">
        <v>1.6817843664857033E-2</v>
      </c>
      <c r="F125" s="227">
        <v>1.6814596221386206E-2</v>
      </c>
      <c r="G125" s="227">
        <v>1.6093483724006721E-2</v>
      </c>
      <c r="H125" s="227">
        <v>1.4720407743107648E-2</v>
      </c>
    </row>
    <row r="126" spans="1:8">
      <c r="A126" s="404"/>
      <c r="B126" s="72">
        <v>17</v>
      </c>
      <c r="C126" s="227">
        <v>2.202487334370512E-2</v>
      </c>
      <c r="D126" s="227">
        <v>2.1371144473804511E-2</v>
      </c>
      <c r="E126" s="227">
        <v>2.018141239782844E-2</v>
      </c>
      <c r="F126" s="227">
        <v>1.9661161723431898E-2</v>
      </c>
      <c r="G126" s="227">
        <v>1.863456010148147E-2</v>
      </c>
      <c r="H126" s="227">
        <v>1.6708785259605848E-2</v>
      </c>
    </row>
    <row r="127" spans="1:8">
      <c r="A127" s="404"/>
      <c r="B127" s="72">
        <v>18</v>
      </c>
      <c r="C127" s="227">
        <v>2.5826989892929485E-2</v>
      </c>
      <c r="D127" s="227">
        <v>2.4899079434559542E-2</v>
      </c>
      <c r="E127" s="227">
        <v>2.3578616818129561E-2</v>
      </c>
      <c r="F127" s="227">
        <v>2.273942441750457E-2</v>
      </c>
      <c r="G127" s="227">
        <v>2.1338525990332799E-2</v>
      </c>
      <c r="H127" s="227">
        <v>1.9114080642466575E-2</v>
      </c>
    </row>
    <row r="128" spans="1:8">
      <c r="A128" s="404"/>
      <c r="B128" s="72">
        <v>19</v>
      </c>
      <c r="C128" s="227">
        <v>3.0108652673587557E-2</v>
      </c>
      <c r="D128" s="227">
        <v>2.8868006265408953E-2</v>
      </c>
      <c r="E128" s="227">
        <v>2.6740371427122683E-2</v>
      </c>
      <c r="F128" s="227">
        <v>2.5652189117272257E-2</v>
      </c>
      <c r="G128" s="227">
        <v>2.4009913976908815E-2</v>
      </c>
      <c r="H128" s="227">
        <v>2.1808011471270587E-2</v>
      </c>
    </row>
    <row r="129" spans="1:8">
      <c r="A129" s="404"/>
      <c r="B129" s="72">
        <v>20</v>
      </c>
      <c r="C129" s="227">
        <v>3.3842262618321399E-2</v>
      </c>
      <c r="D129" s="227">
        <v>3.3074390257078409E-2</v>
      </c>
      <c r="E129" s="227">
        <v>3.0272118596742656E-2</v>
      </c>
      <c r="F129" s="227">
        <v>2.836635622387397E-2</v>
      </c>
      <c r="G129" s="227">
        <v>2.6420678745282294E-2</v>
      </c>
      <c r="H129" s="227">
        <v>2.4630224720493841E-2</v>
      </c>
    </row>
    <row r="130" spans="1:8">
      <c r="A130" s="404"/>
      <c r="B130" s="72">
        <v>21</v>
      </c>
      <c r="C130" s="227">
        <v>3.8295191910205792E-2</v>
      </c>
      <c r="D130" s="227">
        <v>3.6500557863196274E-2</v>
      </c>
      <c r="E130" s="227">
        <v>3.3972044203011205E-2</v>
      </c>
      <c r="F130" s="227">
        <v>3.1610116912251629E-2</v>
      </c>
      <c r="G130" s="227">
        <v>2.8766287709105134E-2</v>
      </c>
      <c r="H130" s="227">
        <v>2.7484508574821903E-2</v>
      </c>
    </row>
    <row r="131" spans="1:8">
      <c r="A131" s="404"/>
      <c r="B131" s="72">
        <v>22</v>
      </c>
      <c r="C131" s="227">
        <v>4.3809973571693382E-2</v>
      </c>
      <c r="D131" s="227">
        <v>4.0605174500228575E-2</v>
      </c>
      <c r="E131" s="227">
        <v>3.6898349000696329E-2</v>
      </c>
      <c r="F131" s="227">
        <v>3.5284172385822231E-2</v>
      </c>
      <c r="G131" s="227">
        <v>3.1763454718434322E-2</v>
      </c>
      <c r="H131" s="227">
        <v>3.0499145454674016E-2</v>
      </c>
    </row>
    <row r="132" spans="1:8">
      <c r="A132" s="404"/>
      <c r="B132" s="72">
        <v>23</v>
      </c>
      <c r="C132" s="227">
        <v>4.9667288255633629E-2</v>
      </c>
      <c r="D132" s="227">
        <v>4.5897076941361116E-2</v>
      </c>
      <c r="E132" s="227">
        <v>4.056463891963516E-2</v>
      </c>
      <c r="F132" s="227">
        <v>3.8693431068504862E-2</v>
      </c>
      <c r="G132" s="227">
        <v>3.5509913480095807E-2</v>
      </c>
      <c r="H132" s="227">
        <v>3.4283476857041556E-2</v>
      </c>
    </row>
    <row r="133" spans="1:8">
      <c r="A133" s="404"/>
      <c r="B133" s="72">
        <v>24</v>
      </c>
      <c r="C133" s="227">
        <v>5.6038402473252841E-2</v>
      </c>
      <c r="D133" s="227">
        <v>5.1562126349496598E-2</v>
      </c>
      <c r="E133" s="227">
        <v>4.5374542207784273E-2</v>
      </c>
      <c r="F133" s="227">
        <v>4.2830880926129418E-2</v>
      </c>
      <c r="G133" s="227">
        <v>3.9321528046307924E-2</v>
      </c>
      <c r="H133" s="227">
        <v>3.8741290966610109E-2</v>
      </c>
    </row>
    <row r="134" spans="1:8">
      <c r="A134" s="404"/>
      <c r="B134" s="72">
        <v>25</v>
      </c>
      <c r="C134" s="227">
        <v>6.319734264251313E-2</v>
      </c>
      <c r="D134" s="227">
        <v>5.7837779885455069E-2</v>
      </c>
      <c r="E134" s="227">
        <v>5.0520802369230525E-2</v>
      </c>
      <c r="F134" s="227">
        <v>4.8027517947305864E-2</v>
      </c>
      <c r="G134" s="227">
        <v>4.3849856462577018E-2</v>
      </c>
      <c r="H134" s="227">
        <v>4.3199105076178648E-2</v>
      </c>
    </row>
    <row r="135" spans="1:8">
      <c r="A135" s="404"/>
      <c r="B135" s="72">
        <v>26</v>
      </c>
      <c r="C135" s="227">
        <v>7.1383881879131375E-2</v>
      </c>
      <c r="D135" s="227">
        <v>6.4791882452327962E-2</v>
      </c>
      <c r="E135" s="227">
        <v>5.6104326465963056E-2</v>
      </c>
      <c r="F135" s="227">
        <v>5.3290354166204305E-2</v>
      </c>
      <c r="G135" s="227">
        <v>4.9160054533453734E-2</v>
      </c>
      <c r="H135" s="227">
        <v>4.7881413421480862E-2</v>
      </c>
    </row>
    <row r="136" spans="1:8">
      <c r="A136" s="404"/>
      <c r="B136" s="72">
        <v>27</v>
      </c>
      <c r="C136" s="227">
        <v>7.9262141395542218E-2</v>
      </c>
      <c r="D136" s="227">
        <v>7.2526201404752452E-2</v>
      </c>
      <c r="E136" s="227">
        <v>6.2259657247300731E-2</v>
      </c>
      <c r="F136" s="227">
        <v>5.8453891588519755E-2</v>
      </c>
      <c r="G136" s="227">
        <v>5.4242207288403226E-2</v>
      </c>
      <c r="H136" s="227">
        <v>5.2724074792307125E-2</v>
      </c>
    </row>
    <row r="137" spans="1:8">
      <c r="A137" s="404"/>
      <c r="B137" s="72">
        <v>28</v>
      </c>
      <c r="C137" s="227">
        <v>8.6592348076028836E-2</v>
      </c>
      <c r="D137" s="227">
        <v>7.97177611324454E-2</v>
      </c>
      <c r="E137" s="227">
        <v>6.9222244524551543E-2</v>
      </c>
      <c r="F137" s="227">
        <v>6.3418831417669227E-2</v>
      </c>
      <c r="G137" s="227">
        <v>5.8803113606947642E-2</v>
      </c>
      <c r="H137" s="227">
        <v>5.7149818296770863E-2</v>
      </c>
    </row>
    <row r="138" spans="1:8">
      <c r="A138" s="404"/>
      <c r="B138" s="72">
        <v>29</v>
      </c>
      <c r="C138" s="227">
        <v>9.2792195782421719E-2</v>
      </c>
      <c r="D138" s="227">
        <v>8.5959492216858141E-2</v>
      </c>
      <c r="E138" s="227">
        <v>7.5814839241175505E-2</v>
      </c>
      <c r="F138" s="227">
        <v>6.8416870845679698E-2</v>
      </c>
      <c r="G138" s="227">
        <v>6.2614728173159759E-2</v>
      </c>
      <c r="H138" s="227">
        <v>6.087000848892879E-2</v>
      </c>
    </row>
    <row r="139" spans="1:8">
      <c r="A139" s="404"/>
      <c r="B139" s="72">
        <v>30</v>
      </c>
      <c r="C139" s="227">
        <v>9.7108111865325059E-2</v>
      </c>
      <c r="D139" s="227">
        <v>9.0844325239442039E-2</v>
      </c>
      <c r="E139" s="227">
        <v>8.1734720211205175E-2</v>
      </c>
      <c r="F139" s="227">
        <v>7.278601789533122E-2</v>
      </c>
      <c r="G139" s="227">
        <v>6.610056371661871E-2</v>
      </c>
      <c r="H139" s="227">
        <v>6.3980857184095338E-2</v>
      </c>
    </row>
    <row r="140" spans="1:8">
      <c r="A140" s="404"/>
      <c r="B140" s="72">
        <v>31</v>
      </c>
      <c r="C140" s="227">
        <v>9.916331000004093E-2</v>
      </c>
      <c r="D140" s="227">
        <v>9.3829500975465524E-2</v>
      </c>
      <c r="E140" s="227">
        <v>8.6578259186684006E-2</v>
      </c>
      <c r="F140" s="227">
        <v>7.6724870159789793E-2</v>
      </c>
      <c r="G140" s="227">
        <v>6.9065152823672565E-2</v>
      </c>
      <c r="H140" s="227">
        <v>6.6963423458842639E-2</v>
      </c>
    </row>
    <row r="141" spans="1:8">
      <c r="A141" s="404"/>
      <c r="B141" s="72">
        <v>32</v>
      </c>
      <c r="C141" s="227">
        <v>9.8855030279833542E-2</v>
      </c>
      <c r="D141" s="227">
        <v>9.4643639812562838E-2</v>
      </c>
      <c r="E141" s="227">
        <v>8.9672742421017693E-2</v>
      </c>
      <c r="F141" s="227">
        <v>8.0200328040194432E-2</v>
      </c>
      <c r="G141" s="227">
        <v>7.1834274517074553E-2</v>
      </c>
      <c r="H141" s="227">
        <v>6.981770731317069E-2</v>
      </c>
    </row>
    <row r="142" spans="1:8">
      <c r="A142" s="404"/>
      <c r="B142" s="72">
        <v>33</v>
      </c>
      <c r="C142" s="227">
        <v>9.6491552424910296E-2</v>
      </c>
      <c r="D142" s="227">
        <v>9.3354586653825428E-2</v>
      </c>
      <c r="E142" s="227">
        <v>9.0580905978919976E-2</v>
      </c>
      <c r="F142" s="227">
        <v>8.3013793943379127E-2</v>
      </c>
      <c r="G142" s="227">
        <v>7.4505662503650566E-2</v>
      </c>
      <c r="H142" s="227">
        <v>7.2832344193022813E-2</v>
      </c>
    </row>
    <row r="143" spans="1:8">
      <c r="A143" s="404"/>
      <c r="B143" s="72">
        <v>34</v>
      </c>
      <c r="C143" s="227">
        <v>9.4744634010401813E-2</v>
      </c>
      <c r="D143" s="227">
        <v>9.0403333369347652E-2</v>
      </c>
      <c r="E143" s="227">
        <v>8.940365692237999E-2</v>
      </c>
      <c r="F143" s="227">
        <v>8.4701873485289944E-2</v>
      </c>
      <c r="G143" s="227">
        <v>7.6916427272024024E-2</v>
      </c>
      <c r="H143" s="227">
        <v>7.5975263493294143E-2</v>
      </c>
    </row>
    <row r="144" spans="1:8">
      <c r="A144" s="404"/>
      <c r="B144" s="72">
        <v>35</v>
      </c>
      <c r="C144" s="227">
        <v>9.457336749917547E-2</v>
      </c>
      <c r="D144" s="227">
        <v>8.8401908728150097E-2</v>
      </c>
      <c r="E144" s="227">
        <v>8.651098781202457E-2</v>
      </c>
      <c r="F144" s="227">
        <v>8.5032869473899916E-2</v>
      </c>
      <c r="G144" s="227">
        <v>7.8610478190340533E-2</v>
      </c>
      <c r="H144" s="227">
        <v>7.8957829768041457E-2</v>
      </c>
    </row>
    <row r="145" spans="1:8">
      <c r="A145" s="404"/>
      <c r="B145" s="72">
        <v>36</v>
      </c>
      <c r="C145" s="227">
        <v>9.7108111865325059E-2</v>
      </c>
      <c r="D145" s="227">
        <v>8.8300141373512928E-2</v>
      </c>
      <c r="E145" s="227">
        <v>8.44255751975823E-2</v>
      </c>
      <c r="F145" s="227">
        <v>8.4106080705792008E-2</v>
      </c>
      <c r="G145" s="227">
        <v>7.9294614138122194E-2</v>
      </c>
      <c r="H145" s="227">
        <v>8.1202772125378131E-2</v>
      </c>
    </row>
    <row r="146" spans="1:8">
      <c r="A146" s="404"/>
      <c r="B146" s="72">
        <v>37</v>
      </c>
      <c r="C146" s="227">
        <v>9.7553404794513493E-2</v>
      </c>
      <c r="D146" s="227">
        <v>9.1183549754899243E-2</v>
      </c>
      <c r="E146" s="227">
        <v>8.4190125386274295E-2</v>
      </c>
      <c r="F146" s="227">
        <v>8.3344789931989086E-2</v>
      </c>
      <c r="G146" s="227">
        <v>7.9294614138122194E-2</v>
      </c>
      <c r="H146" s="227">
        <v>8.2389384514256092E-2</v>
      </c>
    </row>
    <row r="147" spans="1:8">
      <c r="A147" s="404"/>
      <c r="B147" s="72">
        <v>38</v>
      </c>
      <c r="C147" s="227">
        <v>9.6080512797967116E-2</v>
      </c>
      <c r="D147" s="227">
        <v>9.2642215171365269E-2</v>
      </c>
      <c r="E147" s="227">
        <v>8.6847344685321709E-2</v>
      </c>
      <c r="F147" s="227">
        <v>8.3344789931989086E-2</v>
      </c>
      <c r="G147" s="227">
        <v>7.9490081551774089E-2</v>
      </c>
      <c r="H147" s="227">
        <v>8.309493782656191E-2</v>
      </c>
    </row>
    <row r="148" spans="1:8">
      <c r="A148" s="404"/>
      <c r="B148" s="72">
        <v>39</v>
      </c>
      <c r="C148" s="227">
        <v>9.7005351958589267E-2</v>
      </c>
      <c r="D148" s="227">
        <v>9.2574370268273837E-2</v>
      </c>
      <c r="E148" s="227">
        <v>8.8091865116521145E-2</v>
      </c>
      <c r="F148" s="227">
        <v>8.4999769875038919E-2</v>
      </c>
      <c r="G148" s="227">
        <v>8.0141639597280448E-2</v>
      </c>
      <c r="H148" s="227">
        <v>8.3800491138867714E-2</v>
      </c>
    </row>
    <row r="149" spans="1:8">
      <c r="A149" s="404"/>
      <c r="B149" s="72">
        <v>40</v>
      </c>
      <c r="C149" s="227">
        <v>9.7245125074306119E-2</v>
      </c>
      <c r="D149" s="227">
        <v>9.4779329618745717E-2</v>
      </c>
      <c r="E149" s="227">
        <v>8.7957322367202287E-2</v>
      </c>
      <c r="F149" s="227">
        <v>8.5032869473899916E-2</v>
      </c>
      <c r="G149" s="227">
        <v>8.2063735831524168E-2</v>
      </c>
      <c r="H149" s="227">
        <v>8.4570185661383149E-2</v>
      </c>
    </row>
    <row r="150" spans="1:8">
      <c r="A150" s="404"/>
      <c r="B150" s="72">
        <v>41</v>
      </c>
      <c r="C150" s="227">
        <v>9.775892460798509E-2</v>
      </c>
      <c r="D150" s="227">
        <v>9.6000537874391709E-2</v>
      </c>
      <c r="E150" s="227">
        <v>9.0009099294314832E-2</v>
      </c>
      <c r="F150" s="227">
        <v>8.384128391490403E-2</v>
      </c>
      <c r="G150" s="227">
        <v>8.2682715974755183E-2</v>
      </c>
      <c r="H150" s="227">
        <v>8.6269927731938062E-2</v>
      </c>
    </row>
    <row r="151" spans="1:8">
      <c r="A151" s="404"/>
      <c r="B151" s="72">
        <v>42</v>
      </c>
      <c r="C151" s="227">
        <v>9.8375484048399853E-2</v>
      </c>
      <c r="D151" s="227">
        <v>9.6916444066126178E-2</v>
      </c>
      <c r="E151" s="227">
        <v>9.1388162474833112E-2</v>
      </c>
      <c r="F151" s="227">
        <v>8.4668773886428947E-2</v>
      </c>
      <c r="G151" s="227">
        <v>8.2194047440625431E-2</v>
      </c>
      <c r="H151" s="227">
        <v>8.6911339834034249E-2</v>
      </c>
    </row>
    <row r="152" spans="1:8">
      <c r="A152" s="404"/>
      <c r="B152" s="72">
        <v>43</v>
      </c>
      <c r="C152" s="227">
        <v>9.9060550093305139E-2</v>
      </c>
      <c r="D152" s="227">
        <v>9.7255668581583396E-2</v>
      </c>
      <c r="E152" s="227">
        <v>9.2699954280691957E-2</v>
      </c>
      <c r="F152" s="227">
        <v>8.5496263857953864E-2</v>
      </c>
      <c r="G152" s="227">
        <v>8.3073650802059001E-2</v>
      </c>
      <c r="H152" s="227">
        <v>8.6783057413615014E-2</v>
      </c>
    </row>
    <row r="153" spans="1:8">
      <c r="A153" s="404"/>
      <c r="B153" s="72">
        <v>44</v>
      </c>
      <c r="C153" s="227">
        <v>9.9334576511267259E-2</v>
      </c>
      <c r="D153" s="227">
        <v>9.708605632385478E-2</v>
      </c>
      <c r="E153" s="227">
        <v>9.3809931962572521E-2</v>
      </c>
      <c r="F153" s="227">
        <v>8.6886447010115705E-2</v>
      </c>
      <c r="G153" s="227">
        <v>8.385552045666661E-2</v>
      </c>
      <c r="H153" s="227">
        <v>8.7937599197388167E-2</v>
      </c>
    </row>
    <row r="154" spans="1:8">
      <c r="A154" s="404"/>
      <c r="B154" s="72">
        <v>45</v>
      </c>
      <c r="C154" s="227">
        <v>9.9231816604531453E-2</v>
      </c>
      <c r="D154" s="227">
        <v>9.6339762389848912E-2</v>
      </c>
      <c r="E154" s="227">
        <v>9.4617188458485671E-2</v>
      </c>
      <c r="F154" s="227">
        <v>8.8475227755443545E-2</v>
      </c>
      <c r="G154" s="227">
        <v>8.4800279622650812E-2</v>
      </c>
      <c r="H154" s="227">
        <v>8.9476988242419037E-2</v>
      </c>
    </row>
    <row r="155" spans="1:8">
      <c r="A155" s="404"/>
      <c r="B155" s="72">
        <v>46</v>
      </c>
      <c r="C155" s="227">
        <v>9.9129056697795676E-2</v>
      </c>
      <c r="D155" s="227">
        <v>9.538993374656872E-2</v>
      </c>
      <c r="E155" s="227">
        <v>9.4852638269793663E-2</v>
      </c>
      <c r="F155" s="227">
        <v>9.0196406896215359E-2</v>
      </c>
      <c r="G155" s="227">
        <v>8.5549571374983105E-2</v>
      </c>
      <c r="H155" s="227">
        <v>9.1529506969126845E-2</v>
      </c>
    </row>
    <row r="156" spans="1:8">
      <c r="A156" s="404"/>
      <c r="B156" s="72">
        <v>47</v>
      </c>
      <c r="C156" s="227">
        <v>9.9266069906776735E-2</v>
      </c>
      <c r="D156" s="227">
        <v>9.4948941876474333E-2</v>
      </c>
      <c r="E156" s="227">
        <v>9.458355277115596E-2</v>
      </c>
      <c r="F156" s="227">
        <v>9.1619689647238212E-2</v>
      </c>
      <c r="G156" s="227">
        <v>8.6494330540967307E-2</v>
      </c>
      <c r="H156" s="227">
        <v>9.3646166906044284E-2</v>
      </c>
    </row>
    <row r="157" spans="1:8">
      <c r="A157" s="404"/>
      <c r="B157" s="72">
        <v>48</v>
      </c>
      <c r="C157" s="227">
        <v>9.9471589720248318E-2</v>
      </c>
      <c r="D157" s="227">
        <v>9.5356011295022997E-2</v>
      </c>
      <c r="E157" s="227">
        <v>9.4381738647177665E-2</v>
      </c>
      <c r="F157" s="227">
        <v>9.238098042104112E-2</v>
      </c>
      <c r="G157" s="227">
        <v>8.7439089706951509E-2</v>
      </c>
      <c r="H157" s="227">
        <v>9.6468380155267541E-2</v>
      </c>
    </row>
    <row r="158" spans="1:8">
      <c r="A158" s="404"/>
      <c r="B158" s="72">
        <v>49</v>
      </c>
      <c r="C158" s="227">
        <v>0.10019090906739887</v>
      </c>
      <c r="D158" s="227">
        <v>9.6407607292940359E-2</v>
      </c>
      <c r="E158" s="227">
        <v>9.4549917083826235E-2</v>
      </c>
      <c r="F158" s="227">
        <v>9.2943673601678059E-2</v>
      </c>
      <c r="G158" s="227">
        <v>8.812322565473317E-2</v>
      </c>
      <c r="H158" s="227">
        <v>9.989993490148219E-2</v>
      </c>
    </row>
    <row r="159" spans="1:8">
      <c r="A159" s="404"/>
      <c r="B159" s="72">
        <v>50</v>
      </c>
      <c r="C159" s="227">
        <v>0.10183506757517156</v>
      </c>
      <c r="D159" s="227">
        <v>9.8341187031046481E-2</v>
      </c>
      <c r="E159" s="227">
        <v>9.5054452393771943E-2</v>
      </c>
      <c r="F159" s="227">
        <v>9.3638765177758987E-2</v>
      </c>
      <c r="G159" s="227">
        <v>8.8970251113891424E-2</v>
      </c>
      <c r="H159" s="227">
        <v>0.10323527783238239</v>
      </c>
    </row>
    <row r="160" spans="1:8">
      <c r="A160" s="404"/>
      <c r="B160" s="72">
        <v>51</v>
      </c>
      <c r="C160" s="227">
        <v>0.104609585057038</v>
      </c>
      <c r="D160" s="227">
        <v>0.10132636276706997</v>
      </c>
      <c r="E160" s="227">
        <v>9.6399879886960513E-2</v>
      </c>
      <c r="F160" s="227">
        <v>9.4764151539032865E-2</v>
      </c>
      <c r="G160" s="227">
        <v>9.0371100911730048E-2</v>
      </c>
      <c r="H160" s="227">
        <v>0.10666683257859702</v>
      </c>
    </row>
    <row r="161" spans="1:8">
      <c r="A161" s="404"/>
      <c r="B161" s="72">
        <v>52</v>
      </c>
      <c r="C161" s="227">
        <v>0.10820618179279078</v>
      </c>
      <c r="D161" s="227">
        <v>0.10515959979173649</v>
      </c>
      <c r="E161" s="227">
        <v>9.9057099186007913E-2</v>
      </c>
      <c r="F161" s="227">
        <v>9.6981824662719637E-2</v>
      </c>
      <c r="G161" s="227">
        <v>9.2618976168726941E-2</v>
      </c>
      <c r="H161" s="227">
        <v>0.11041909337585976</v>
      </c>
    </row>
    <row r="162" spans="1:8">
      <c r="A162" s="404"/>
      <c r="B162" s="72">
        <v>53</v>
      </c>
      <c r="C162" s="227">
        <v>0.11159725871507196</v>
      </c>
      <c r="D162" s="227">
        <v>0.10936598378340594</v>
      </c>
      <c r="E162" s="227">
        <v>0.10309338166557361</v>
      </c>
      <c r="F162" s="227">
        <v>0.10075517893287324</v>
      </c>
      <c r="G162" s="227">
        <v>9.6267701223562485E-2</v>
      </c>
      <c r="H162" s="227">
        <v>0.11484483688032349</v>
      </c>
    </row>
    <row r="163" spans="1:8">
      <c r="A163" s="404"/>
      <c r="B163" s="72">
        <v>54</v>
      </c>
      <c r="C163" s="227">
        <v>0.11433752289469314</v>
      </c>
      <c r="D163" s="227">
        <v>0.11279215138952381</v>
      </c>
      <c r="E163" s="227">
        <v>0.10813873476503072</v>
      </c>
      <c r="F163" s="227">
        <v>0.10558772036657872</v>
      </c>
      <c r="G163" s="227">
        <v>0.10161047719671451</v>
      </c>
      <c r="H163" s="227">
        <v>0.12071375761450366</v>
      </c>
    </row>
    <row r="164" spans="1:8">
      <c r="A164" s="404"/>
      <c r="B164" s="72">
        <v>55</v>
      </c>
      <c r="C164" s="227">
        <v>0.11594742810022057</v>
      </c>
      <c r="D164" s="227">
        <v>0.11509887809463287</v>
      </c>
      <c r="E164" s="227">
        <v>0.11284773099119069</v>
      </c>
      <c r="F164" s="227">
        <v>0.11075125778889416</v>
      </c>
      <c r="G164" s="227">
        <v>0.10740934380172099</v>
      </c>
      <c r="H164" s="227">
        <v>0.12841070283965797</v>
      </c>
    </row>
    <row r="165" spans="1:8">
      <c r="A165" s="404"/>
      <c r="B165" s="72">
        <v>56</v>
      </c>
      <c r="C165" s="227">
        <v>0.11663249414512586</v>
      </c>
      <c r="D165" s="227">
        <v>0.1160826291894588</v>
      </c>
      <c r="E165" s="227">
        <v>0.11651402091012952</v>
      </c>
      <c r="F165" s="227">
        <v>0.11531900243171167</v>
      </c>
      <c r="G165" s="227">
        <v>0.11268696397032238</v>
      </c>
      <c r="H165" s="227">
        <v>0.13626800109033635</v>
      </c>
    </row>
    <row r="166" spans="1:8">
      <c r="A166" s="404"/>
      <c r="B166" s="72">
        <v>57</v>
      </c>
      <c r="C166" s="227">
        <v>0.11635846772716375</v>
      </c>
      <c r="D166" s="227">
        <v>0.11628616389873311</v>
      </c>
      <c r="E166" s="227">
        <v>0.11849852646258265</v>
      </c>
      <c r="F166" s="227">
        <v>0.11856276312008933</v>
      </c>
      <c r="G166" s="227">
        <v>0.11688951336383831</v>
      </c>
      <c r="H166" s="227">
        <v>0.143066969372556</v>
      </c>
    </row>
    <row r="167" spans="1:8">
      <c r="A167" s="404"/>
      <c r="B167" s="72">
        <v>58</v>
      </c>
      <c r="C167" s="227">
        <v>0.11416625638346682</v>
      </c>
      <c r="D167" s="227">
        <v>0.11594693938327591</v>
      </c>
      <c r="E167" s="227">
        <v>0.11910396883451752</v>
      </c>
      <c r="F167" s="227">
        <v>0.12015154386541717</v>
      </c>
      <c r="G167" s="227">
        <v>0.11969121295951558</v>
      </c>
      <c r="H167" s="227">
        <v>0.14932073736799389</v>
      </c>
    </row>
    <row r="168" spans="1:8">
      <c r="A168" s="404"/>
      <c r="B168" s="72">
        <v>59</v>
      </c>
      <c r="C168" s="227">
        <v>0.1116657653195625</v>
      </c>
      <c r="D168" s="227">
        <v>0.11421689435444413</v>
      </c>
      <c r="E168" s="227">
        <v>0.11853216214991236</v>
      </c>
      <c r="F168" s="227">
        <v>0.12058183865061012</v>
      </c>
      <c r="G168" s="227">
        <v>0.12112464065962954</v>
      </c>
      <c r="H168" s="227">
        <v>0.15477274023581156</v>
      </c>
    </row>
    <row r="169" spans="1:8">
      <c r="A169" s="404"/>
      <c r="B169" s="72">
        <v>60</v>
      </c>
      <c r="C169" s="227">
        <v>0.11067241955444983</v>
      </c>
      <c r="D169" s="227">
        <v>0.11258861668024948</v>
      </c>
      <c r="E169" s="227">
        <v>0.1162112997241621</v>
      </c>
      <c r="F169" s="227">
        <v>0.12015154386541717</v>
      </c>
      <c r="G169" s="227">
        <v>0.12197166611878779</v>
      </c>
      <c r="H169" s="227">
        <v>0.15948711918621858</v>
      </c>
    </row>
    <row r="170" spans="1:8">
      <c r="A170" s="404"/>
      <c r="B170" s="72">
        <v>61</v>
      </c>
      <c r="C170" s="227">
        <v>0.11163151201731723</v>
      </c>
      <c r="D170" s="227">
        <v>0.11262253913179521</v>
      </c>
      <c r="E170" s="227">
        <v>0.11412588710971983</v>
      </c>
      <c r="F170" s="227">
        <v>0.11872826111439432</v>
      </c>
      <c r="G170" s="227">
        <v>0.12249291255519287</v>
      </c>
      <c r="H170" s="227">
        <v>0.16362422724473902</v>
      </c>
    </row>
    <row r="171" spans="1:8">
      <c r="A171" s="404"/>
      <c r="B171" s="72">
        <v>62</v>
      </c>
      <c r="C171" s="227">
        <v>0.11358395024529731</v>
      </c>
      <c r="D171" s="227">
        <v>0.11455611886990133</v>
      </c>
      <c r="E171" s="227">
        <v>0.11412588710971983</v>
      </c>
      <c r="F171" s="227">
        <v>0.11813246833489638</v>
      </c>
      <c r="G171" s="227">
        <v>0.12268837996884477</v>
      </c>
      <c r="H171" s="227">
        <v>0.16635022867864785</v>
      </c>
    </row>
    <row r="172" spans="1:8">
      <c r="A172" s="404"/>
      <c r="B172" s="72">
        <v>63</v>
      </c>
      <c r="C172" s="227">
        <v>0.11505684224184369</v>
      </c>
      <c r="D172" s="227">
        <v>0.11716814763892189</v>
      </c>
      <c r="E172" s="227">
        <v>0.11664856365944838</v>
      </c>
      <c r="F172" s="227">
        <v>0.12001914546997318</v>
      </c>
      <c r="G172" s="227">
        <v>0.12402407396213277</v>
      </c>
      <c r="H172" s="227">
        <v>0.16734441743689696</v>
      </c>
    </row>
    <row r="173" spans="1:8">
      <c r="A173" s="404"/>
      <c r="B173" s="72">
        <v>64</v>
      </c>
      <c r="C173" s="227">
        <v>0.11676950735410692</v>
      </c>
      <c r="D173" s="227">
        <v>0.1187964253131165</v>
      </c>
      <c r="E173" s="227">
        <v>0.12038212495304663</v>
      </c>
      <c r="F173" s="227">
        <v>0.12418969492645875</v>
      </c>
      <c r="G173" s="227">
        <v>0.12777053272379427</v>
      </c>
      <c r="H173" s="227">
        <v>0.16827446498493642</v>
      </c>
    </row>
    <row r="174" spans="1:8">
      <c r="A174" s="404"/>
      <c r="B174" s="72">
        <v>65</v>
      </c>
      <c r="C174" s="227">
        <v>0.11817389274616277</v>
      </c>
      <c r="D174" s="227">
        <v>0.12022116827803681</v>
      </c>
      <c r="E174" s="227">
        <v>0.12324115837607233</v>
      </c>
      <c r="F174" s="227">
        <v>0.12872433997041524</v>
      </c>
      <c r="G174" s="227">
        <v>0.13278752967419311</v>
      </c>
      <c r="H174" s="227">
        <v>0.17084011339332122</v>
      </c>
    </row>
    <row r="175" spans="1:8">
      <c r="A175" s="404"/>
      <c r="B175" s="72">
        <v>66</v>
      </c>
      <c r="C175" s="227">
        <v>0.118721945582087</v>
      </c>
      <c r="D175" s="227">
        <v>0.12100138466358841</v>
      </c>
      <c r="E175" s="227">
        <v>0.1255956564891523</v>
      </c>
      <c r="F175" s="227">
        <v>0.13173640346676593</v>
      </c>
      <c r="G175" s="227">
        <v>0.13679461165405712</v>
      </c>
      <c r="H175" s="227">
        <v>0.17391889148338294</v>
      </c>
    </row>
    <row r="176" spans="1:8">
      <c r="A176" s="404"/>
      <c r="B176" s="72">
        <v>67</v>
      </c>
      <c r="C176" s="227">
        <v>0.11855067907086068</v>
      </c>
      <c r="D176" s="227">
        <v>0.12079784995431407</v>
      </c>
      <c r="E176" s="227">
        <v>0.12653745573438432</v>
      </c>
      <c r="F176" s="227">
        <v>0.1330272878223448</v>
      </c>
      <c r="G176" s="227">
        <v>0.13839092886554769</v>
      </c>
      <c r="H176" s="227">
        <v>0.17545828052841381</v>
      </c>
    </row>
    <row r="177" spans="1:8">
      <c r="A177" s="404"/>
      <c r="B177" s="72">
        <v>68</v>
      </c>
      <c r="C177" s="227">
        <v>0.1167010007496164</v>
      </c>
      <c r="D177" s="227">
        <v>0.11994978866567105</v>
      </c>
      <c r="E177" s="227">
        <v>0.12552838511449288</v>
      </c>
      <c r="F177" s="227">
        <v>0.13200120025765391</v>
      </c>
      <c r="G177" s="227">
        <v>0.13744616969956347</v>
      </c>
      <c r="H177" s="227">
        <v>0.17568277476414748</v>
      </c>
    </row>
    <row r="178" spans="1:8">
      <c r="A178" s="404"/>
      <c r="B178" s="72">
        <v>69</v>
      </c>
      <c r="C178" s="227">
        <v>0.11550213517103212</v>
      </c>
      <c r="D178" s="227">
        <v>0.11757521705747054</v>
      </c>
      <c r="E178" s="227">
        <v>0.12310661562675349</v>
      </c>
      <c r="F178" s="227">
        <v>0.12915463475560821</v>
      </c>
      <c r="G178" s="227">
        <v>0.13451415849478493</v>
      </c>
      <c r="H178" s="227">
        <v>0.17465651540079355</v>
      </c>
    </row>
    <row r="179" spans="1:8">
      <c r="A179" s="404"/>
      <c r="B179" s="72">
        <v>70</v>
      </c>
      <c r="C179" s="227">
        <v>0.11748882670125749</v>
      </c>
      <c r="D179" s="227">
        <v>0.11604870673791308</v>
      </c>
      <c r="E179" s="227">
        <v>0.11886851902320951</v>
      </c>
      <c r="F179" s="227">
        <v>0.12521578249114962</v>
      </c>
      <c r="G179" s="227">
        <v>0.13102832295132599</v>
      </c>
      <c r="H179" s="227">
        <v>0.1727643496996098</v>
      </c>
    </row>
    <row r="180" spans="1:8">
      <c r="A180" s="404"/>
      <c r="B180" s="72">
        <v>71</v>
      </c>
      <c r="C180" s="227">
        <v>0.12303786166499033</v>
      </c>
      <c r="D180" s="227">
        <v>0.11767698441210769</v>
      </c>
      <c r="E180" s="227">
        <v>0.11604312128751353</v>
      </c>
      <c r="F180" s="227">
        <v>0.11902615750414328</v>
      </c>
      <c r="G180" s="227">
        <v>0.12643483873050626</v>
      </c>
      <c r="H180" s="227">
        <v>0.16955728918912882</v>
      </c>
    </row>
    <row r="181" spans="1:8">
      <c r="A181" s="404"/>
      <c r="B181" s="72">
        <v>72</v>
      </c>
      <c r="C181" s="227">
        <v>0.12910069616240216</v>
      </c>
      <c r="D181" s="227">
        <v>0.12293496440169452</v>
      </c>
      <c r="E181" s="227">
        <v>0.1171867346567238</v>
      </c>
      <c r="F181" s="227">
        <v>0.11525280323398969</v>
      </c>
      <c r="G181" s="227">
        <v>0.12060339422322447</v>
      </c>
      <c r="H181" s="227">
        <v>0.1637845802702631</v>
      </c>
    </row>
    <row r="182" spans="1:8">
      <c r="A182" s="404"/>
      <c r="B182" s="72">
        <v>73</v>
      </c>
      <c r="C182" s="227">
        <v>0.13214924006223072</v>
      </c>
      <c r="D182" s="227">
        <v>0.12897316077683296</v>
      </c>
      <c r="E182" s="227">
        <v>0.12273662306612663</v>
      </c>
      <c r="F182" s="227">
        <v>0.1178676715440084</v>
      </c>
      <c r="G182" s="227">
        <v>0.11920254442538582</v>
      </c>
      <c r="H182" s="227">
        <v>0.15615177625531837</v>
      </c>
    </row>
    <row r="183" spans="1:8">
      <c r="A183" s="404"/>
      <c r="B183" s="72">
        <v>74</v>
      </c>
      <c r="C183" s="227">
        <v>0.13458122452164448</v>
      </c>
      <c r="D183" s="227">
        <v>0.13195833651285643</v>
      </c>
      <c r="E183" s="227">
        <v>0.13013647427866373</v>
      </c>
      <c r="F183" s="227">
        <v>0.12557987807862059</v>
      </c>
      <c r="G183" s="227">
        <v>0.12434985298488596</v>
      </c>
      <c r="H183" s="227">
        <v>0.15179017396106426</v>
      </c>
    </row>
    <row r="184" spans="1:8">
      <c r="A184" s="404"/>
      <c r="B184" s="72">
        <v>75</v>
      </c>
      <c r="C184" s="227">
        <v>0.13728723539902038</v>
      </c>
      <c r="D184" s="227">
        <v>0.13446859792723981</v>
      </c>
      <c r="E184" s="227">
        <v>0.1350809203161317</v>
      </c>
      <c r="F184" s="227">
        <v>0.13498016415514358</v>
      </c>
      <c r="G184" s="227">
        <v>0.1338300225470033</v>
      </c>
      <c r="H184" s="227">
        <v>0.15073184399260556</v>
      </c>
    </row>
    <row r="185" spans="1:8">
      <c r="A185" s="404"/>
      <c r="B185" s="72">
        <v>76</v>
      </c>
      <c r="C185" s="227">
        <v>0.13910266041801941</v>
      </c>
      <c r="D185" s="227">
        <v>0.13714847159935181</v>
      </c>
      <c r="E185" s="227">
        <v>0.13938628829433511</v>
      </c>
      <c r="F185" s="227">
        <v>0.14100429114784496</v>
      </c>
      <c r="G185" s="227">
        <v>0.14331019210912058</v>
      </c>
      <c r="H185" s="227">
        <v>0.15425961055413462</v>
      </c>
    </row>
    <row r="186" spans="1:8">
      <c r="A186" s="404"/>
      <c r="B186" s="72">
        <v>77</v>
      </c>
      <c r="C186" s="227">
        <v>0.14030152599660367</v>
      </c>
      <c r="D186" s="227">
        <v>0.13877674927354644</v>
      </c>
      <c r="E186" s="227">
        <v>0.14298530683861449</v>
      </c>
      <c r="F186" s="227">
        <v>0.14464524702255455</v>
      </c>
      <c r="G186" s="227">
        <v>0.14682860555485486</v>
      </c>
      <c r="H186" s="227">
        <v>0.15894191889943682</v>
      </c>
    </row>
    <row r="187" spans="1:8">
      <c r="A187" s="404"/>
      <c r="B187" s="72">
        <v>78</v>
      </c>
      <c r="C187" s="227">
        <v>0.13975347316067946</v>
      </c>
      <c r="D187" s="227">
        <v>0.13945519830446088</v>
      </c>
      <c r="E187" s="227">
        <v>0.14406164883316536</v>
      </c>
      <c r="F187" s="227">
        <v>0.14577063338382842</v>
      </c>
      <c r="G187" s="227">
        <v>0.14607931380252256</v>
      </c>
      <c r="H187" s="227">
        <v>0.16022474310362922</v>
      </c>
    </row>
    <row r="188" spans="1:8">
      <c r="A188" s="404"/>
      <c r="B188" s="72">
        <v>79</v>
      </c>
      <c r="C188" s="227">
        <v>0.13920542032475522</v>
      </c>
      <c r="D188" s="227">
        <v>0.13789476553335772</v>
      </c>
      <c r="E188" s="227">
        <v>0.14261531427798763</v>
      </c>
      <c r="F188" s="227">
        <v>0.14328816346925369</v>
      </c>
      <c r="G188" s="227">
        <v>0.14243058874768702</v>
      </c>
      <c r="H188" s="227">
        <v>0.16105857883635424</v>
      </c>
    </row>
    <row r="189" spans="1:8">
      <c r="A189" s="404"/>
      <c r="B189" s="72">
        <v>80</v>
      </c>
      <c r="C189" s="227">
        <v>0.14129487176171635</v>
      </c>
      <c r="D189" s="227">
        <v>0.13582549598906868</v>
      </c>
      <c r="E189" s="227">
        <v>0.13797358942648708</v>
      </c>
      <c r="F189" s="227">
        <v>0.13819082524466023</v>
      </c>
      <c r="G189" s="227">
        <v>0.13598016409717423</v>
      </c>
      <c r="H189" s="227">
        <v>0.16198862638439374</v>
      </c>
    </row>
    <row r="190" spans="1:8">
      <c r="A190" s="404"/>
      <c r="B190" s="72">
        <v>81</v>
      </c>
      <c r="C190" s="227">
        <v>0.14639861379626079</v>
      </c>
      <c r="D190" s="227">
        <v>0.13589334089216012</v>
      </c>
      <c r="E190" s="227">
        <v>0.13265915082839227</v>
      </c>
      <c r="F190" s="227">
        <v>0.130908913495241</v>
      </c>
      <c r="G190" s="227">
        <v>0.12900849301025633</v>
      </c>
      <c r="H190" s="227">
        <v>0.16109064944145907</v>
      </c>
    </row>
    <row r="191" spans="1:8">
      <c r="A191" s="404"/>
      <c r="B191" s="72">
        <v>82</v>
      </c>
      <c r="C191" s="227">
        <v>0.14975543741629671</v>
      </c>
      <c r="D191" s="227">
        <v>0.13853929211272636</v>
      </c>
      <c r="E191" s="227">
        <v>0.12993466015468544</v>
      </c>
      <c r="F191" s="227">
        <v>0.12438829251962472</v>
      </c>
      <c r="G191" s="227">
        <v>0.12197166611878779</v>
      </c>
      <c r="H191" s="227">
        <v>0.15817222437692138</v>
      </c>
    </row>
    <row r="192" spans="1:8">
      <c r="A192" s="404"/>
      <c r="B192" s="72">
        <v>83</v>
      </c>
      <c r="C192" s="227">
        <v>0.14585056096033655</v>
      </c>
      <c r="D192" s="227">
        <v>0.13948912075600658</v>
      </c>
      <c r="E192" s="227">
        <v>0.13047283115196087</v>
      </c>
      <c r="F192" s="227">
        <v>0.12144242822099602</v>
      </c>
      <c r="G192" s="227">
        <v>0.11692209126611362</v>
      </c>
      <c r="H192" s="227">
        <v>0.15182224456616908</v>
      </c>
    </row>
    <row r="193" spans="1:8">
      <c r="A193" s="404"/>
      <c r="B193" s="72">
        <v>84</v>
      </c>
      <c r="C193" s="227">
        <v>0.13715022219003931</v>
      </c>
      <c r="D193" s="227">
        <v>0.133959761154054</v>
      </c>
      <c r="E193" s="227">
        <v>0.13030465271531227</v>
      </c>
      <c r="F193" s="227">
        <v>0.12253471498340893</v>
      </c>
      <c r="G193" s="227">
        <v>0.11594475419785411</v>
      </c>
      <c r="H193" s="227">
        <v>0.14422151115632917</v>
      </c>
    </row>
    <row r="194" spans="1:8">
      <c r="A194" s="404"/>
      <c r="B194" s="72">
        <v>85</v>
      </c>
      <c r="C194" s="227">
        <v>0.12581237914685678</v>
      </c>
      <c r="D194" s="227">
        <v>0.12449539717279771</v>
      </c>
      <c r="E194" s="227">
        <v>0.12478839999323918</v>
      </c>
      <c r="F194" s="227">
        <v>0.12316360736176785</v>
      </c>
      <c r="G194" s="227">
        <v>0.11842067477077821</v>
      </c>
      <c r="H194" s="227">
        <v>0.13838466102725383</v>
      </c>
    </row>
    <row r="195" spans="1:8">
      <c r="A195" s="404"/>
      <c r="B195" s="72">
        <v>86</v>
      </c>
      <c r="C195" s="227">
        <v>0.11248784457344885</v>
      </c>
      <c r="D195" s="227">
        <v>0.1130974534534353</v>
      </c>
      <c r="E195" s="227">
        <v>0.11590857853819467</v>
      </c>
      <c r="F195" s="227">
        <v>0.11843036472464534</v>
      </c>
      <c r="G195" s="227">
        <v>0.11978894666634153</v>
      </c>
      <c r="H195" s="227">
        <v>0.13485689446572474</v>
      </c>
    </row>
    <row r="196" spans="1:8">
      <c r="A196" s="404"/>
      <c r="B196" s="72">
        <v>87</v>
      </c>
      <c r="C196" s="227">
        <v>9.8615257164116704E-2</v>
      </c>
      <c r="D196" s="227">
        <v>0.10030868922069833</v>
      </c>
      <c r="E196" s="227">
        <v>0.10517879428001588</v>
      </c>
      <c r="F196" s="227">
        <v>0.10995686741623024</v>
      </c>
      <c r="G196" s="227">
        <v>0.11483710552049331</v>
      </c>
      <c r="H196" s="227">
        <v>0.12962938583364075</v>
      </c>
    </row>
    <row r="197" spans="1:8">
      <c r="A197" s="404"/>
      <c r="B197" s="72">
        <v>88</v>
      </c>
      <c r="C197" s="227">
        <v>8.4468643336822427E-2</v>
      </c>
      <c r="D197" s="227">
        <v>8.7316390278686998E-2</v>
      </c>
      <c r="E197" s="227">
        <v>9.2901768404670251E-2</v>
      </c>
      <c r="F197" s="227">
        <v>9.9100198989823404E-2</v>
      </c>
      <c r="G197" s="227">
        <v>0.10532435805610067</v>
      </c>
      <c r="H197" s="227">
        <v>0.11888573312352951</v>
      </c>
    </row>
    <row r="198" spans="1:8">
      <c r="A198" s="404"/>
      <c r="B198" s="72">
        <v>89</v>
      </c>
      <c r="C198" s="227">
        <v>7.0938588949942927E-2</v>
      </c>
      <c r="D198" s="227">
        <v>7.4188401530492804E-2</v>
      </c>
      <c r="E198" s="227">
        <v>8.0254749968697761E-2</v>
      </c>
      <c r="F198" s="227">
        <v>8.6621650219227742E-2</v>
      </c>
      <c r="G198" s="227">
        <v>9.3498579530160525E-2</v>
      </c>
      <c r="H198" s="227">
        <v>0.10573678503055754</v>
      </c>
    </row>
    <row r="199" spans="1:8">
      <c r="A199" s="404"/>
      <c r="B199" s="72">
        <v>90</v>
      </c>
      <c r="C199" s="227">
        <v>5.9977532231458262E-2</v>
      </c>
      <c r="D199" s="227">
        <v>6.1738861813213038E-2</v>
      </c>
      <c r="E199" s="227">
        <v>6.7473188783406413E-2</v>
      </c>
      <c r="F199" s="227">
        <v>7.3878304657744101E-2</v>
      </c>
      <c r="G199" s="227">
        <v>8.0402262815482975E-2</v>
      </c>
      <c r="H199" s="227">
        <v>9.2106777861013428E-2</v>
      </c>
    </row>
    <row r="200" spans="1:8">
      <c r="A200" s="404"/>
      <c r="B200" s="72">
        <v>91</v>
      </c>
      <c r="C200" s="227">
        <v>5.1688233088104232E-2</v>
      </c>
      <c r="D200" s="227">
        <v>5.1629971252588044E-2</v>
      </c>
      <c r="E200" s="227">
        <v>5.5431612719368778E-2</v>
      </c>
      <c r="F200" s="227">
        <v>6.1366656288287448E-2</v>
      </c>
      <c r="G200" s="227">
        <v>6.7729458830384559E-2</v>
      </c>
      <c r="H200" s="227">
        <v>7.8348488271050079E-2</v>
      </c>
    </row>
    <row r="201" spans="1:8">
      <c r="A201" s="404"/>
      <c r="B201" s="72">
        <v>92</v>
      </c>
      <c r="C201" s="227">
        <v>4.5933678310899791E-2</v>
      </c>
      <c r="D201" s="227">
        <v>4.3827807397072115E-2</v>
      </c>
      <c r="E201" s="227">
        <v>4.5643627706421989E-2</v>
      </c>
      <c r="F201" s="227">
        <v>4.9881095483521667E-2</v>
      </c>
      <c r="G201" s="227">
        <v>5.5805946597618457E-2</v>
      </c>
      <c r="H201" s="227">
        <v>6.5263681388287725E-2</v>
      </c>
    </row>
    <row r="202" spans="1:8">
      <c r="A202" s="404"/>
      <c r="B202" s="72">
        <v>93</v>
      </c>
      <c r="C202" s="227">
        <v>4.021337683594061E-2</v>
      </c>
      <c r="D202" s="227">
        <v>3.8196680440482349E-2</v>
      </c>
      <c r="E202" s="227">
        <v>3.810923374456604E-2</v>
      </c>
      <c r="F202" s="227">
        <v>4.0646307401303657E-2</v>
      </c>
      <c r="G202" s="227">
        <v>4.5022660944488438E-2</v>
      </c>
      <c r="H202" s="227">
        <v>5.2788216002516743E-2</v>
      </c>
    </row>
    <row r="203" spans="1:8">
      <c r="A203" s="404"/>
      <c r="B203" s="72">
        <v>94</v>
      </c>
      <c r="C203" s="227">
        <v>3.3705249409340339E-2</v>
      </c>
      <c r="D203" s="227">
        <v>3.2667320838529752E-2</v>
      </c>
      <c r="E203" s="227">
        <v>3.2525709647833502E-2</v>
      </c>
      <c r="F203" s="227">
        <v>3.3529893646189413E-2</v>
      </c>
      <c r="G203" s="227">
        <v>3.6389516841529371E-2</v>
      </c>
      <c r="H203" s="227">
        <v>4.1435221795414118E-2</v>
      </c>
    </row>
    <row r="204" spans="1:8">
      <c r="A204" s="404"/>
      <c r="B204" s="72">
        <v>95</v>
      </c>
      <c r="C204" s="227">
        <v>2.675182905355163E-2</v>
      </c>
      <c r="D204" s="227">
        <v>2.6086365238659794E-2</v>
      </c>
      <c r="E204" s="227">
        <v>2.6841278489111824E-2</v>
      </c>
      <c r="F204" s="227">
        <v>2.796916103754201E-2</v>
      </c>
      <c r="G204" s="227">
        <v>2.9483001559162114E-2</v>
      </c>
      <c r="H204" s="227">
        <v>3.2359240550752975E-2</v>
      </c>
    </row>
    <row r="205" spans="1:8">
      <c r="A205" s="404"/>
      <c r="B205" s="72">
        <v>96</v>
      </c>
      <c r="C205" s="227">
        <v>2.0654741253894538E-2</v>
      </c>
      <c r="D205" s="227">
        <v>2.0760540345981526E-2</v>
      </c>
      <c r="E205" s="227">
        <v>2.1425932829027858E-2</v>
      </c>
      <c r="F205" s="227">
        <v>2.2938022010670547E-2</v>
      </c>
      <c r="G205" s="227">
        <v>2.4270537195111356E-2</v>
      </c>
      <c r="H205" s="227">
        <v>2.5464060453218893E-2</v>
      </c>
    </row>
    <row r="206" spans="1:8">
      <c r="A206" s="404"/>
      <c r="B206" s="72">
        <v>97</v>
      </c>
      <c r="C206" s="227">
        <v>1.5345479405878527E-2</v>
      </c>
      <c r="D206" s="227">
        <v>1.5706095065669029E-2</v>
      </c>
      <c r="E206" s="227">
        <v>1.6716936602867893E-2</v>
      </c>
      <c r="F206" s="227">
        <v>1.8006181780382075E-2</v>
      </c>
      <c r="G206" s="227">
        <v>1.9644475072016304E-2</v>
      </c>
      <c r="H206" s="227">
        <v>2.0428975451763771E-2</v>
      </c>
    </row>
    <row r="207" spans="1:8">
      <c r="A207" s="404"/>
      <c r="B207" s="72">
        <v>98</v>
      </c>
      <c r="C207" s="227">
        <v>1.1029563322975191E-2</v>
      </c>
      <c r="D207" s="227">
        <v>1.1431866170908129E-2</v>
      </c>
      <c r="E207" s="227">
        <v>1.2445204311994203E-2</v>
      </c>
      <c r="F207" s="227">
        <v>1.3868731922757518E-2</v>
      </c>
      <c r="G207" s="227">
        <v>1.5213880362573156E-2</v>
      </c>
      <c r="H207" s="227">
        <v>1.6099443762614463E-2</v>
      </c>
    </row>
    <row r="208" spans="1:8">
      <c r="A208" s="404"/>
      <c r="B208" s="72">
        <v>99</v>
      </c>
      <c r="C208" s="227">
        <v>1000</v>
      </c>
      <c r="D208" s="227">
        <v>1000</v>
      </c>
      <c r="E208" s="227">
        <v>1000</v>
      </c>
      <c r="F208" s="227">
        <v>1000</v>
      </c>
      <c r="G208" s="227">
        <v>1000</v>
      </c>
      <c r="H208" s="227">
        <v>1000</v>
      </c>
    </row>
    <row r="209" spans="1:8">
      <c r="A209" s="405"/>
      <c r="B209" s="72">
        <v>100</v>
      </c>
      <c r="C209" s="227">
        <v>1000</v>
      </c>
      <c r="D209" s="227">
        <v>1000</v>
      </c>
      <c r="E209" s="227">
        <v>1000</v>
      </c>
      <c r="F209" s="227">
        <v>1000</v>
      </c>
      <c r="G209" s="227">
        <v>1000</v>
      </c>
      <c r="H209" s="227">
        <v>1000</v>
      </c>
    </row>
    <row r="212" spans="1:8" ht="14.4" thickBot="1">
      <c r="A212" s="160" t="s">
        <v>333</v>
      </c>
    </row>
    <row r="213" spans="1:8">
      <c r="B213" s="4" t="s">
        <v>389</v>
      </c>
      <c r="C213" s="4">
        <v>2015</v>
      </c>
      <c r="D213" s="4">
        <v>2016</v>
      </c>
      <c r="E213" s="4">
        <v>2017</v>
      </c>
      <c r="F213" s="4">
        <v>2018</v>
      </c>
      <c r="G213" s="4">
        <v>2019</v>
      </c>
      <c r="H213" s="4">
        <v>2020</v>
      </c>
    </row>
    <row r="214" spans="1:8" ht="13.8" customHeight="1">
      <c r="A214" s="403" t="s">
        <v>334</v>
      </c>
      <c r="B214" s="72">
        <v>0</v>
      </c>
      <c r="C214" s="227">
        <v>0.65788156903973249</v>
      </c>
      <c r="D214" s="227">
        <v>0.60531560039876098</v>
      </c>
      <c r="E214" s="227">
        <v>0.53349178616343329</v>
      </c>
      <c r="F214" s="227">
        <v>0.58972955817217843</v>
      </c>
      <c r="G214" s="227">
        <v>0.61102928981049331</v>
      </c>
      <c r="H214" s="227">
        <v>0.47898008995860797</v>
      </c>
    </row>
    <row r="215" spans="1:8">
      <c r="A215" s="404"/>
      <c r="B215" s="72">
        <v>1</v>
      </c>
      <c r="C215" s="227">
        <v>0.11184458898312276</v>
      </c>
      <c r="D215" s="227">
        <v>9.8522169260906803E-2</v>
      </c>
      <c r="E215" s="227">
        <v>8.5433224841380051E-2</v>
      </c>
      <c r="F215" s="227">
        <v>8.475007740882641E-2</v>
      </c>
      <c r="G215" s="227">
        <v>8.2409694065865222E-2</v>
      </c>
      <c r="H215" s="227">
        <v>6.8002715820173282E-2</v>
      </c>
    </row>
    <row r="216" spans="1:8">
      <c r="A216" s="404"/>
      <c r="B216" s="72">
        <v>2</v>
      </c>
      <c r="C216" s="227">
        <v>7.116062027214598E-2</v>
      </c>
      <c r="D216" s="227">
        <v>6.3929620974559911E-2</v>
      </c>
      <c r="E216" s="227">
        <v>5.7230226540135883E-2</v>
      </c>
      <c r="F216" s="227">
        <v>5.5032975068548269E-2</v>
      </c>
      <c r="G216" s="227">
        <v>5.2228571333637383E-2</v>
      </c>
      <c r="H216" s="227">
        <v>4.3939692754676532E-2</v>
      </c>
    </row>
    <row r="217" spans="1:8">
      <c r="A217" s="404"/>
      <c r="B217" s="72">
        <v>3</v>
      </c>
      <c r="C217" s="227">
        <v>4.6205364464609343E-2</v>
      </c>
      <c r="D217" s="227">
        <v>4.1647844294800576E-2</v>
      </c>
      <c r="E217" s="227">
        <v>3.7842904963295863E-2</v>
      </c>
      <c r="F217" s="227">
        <v>3.7146377925347675E-2</v>
      </c>
      <c r="G217" s="227">
        <v>3.4507545142237556E-2</v>
      </c>
      <c r="H217" s="227">
        <v>2.8998155094488307E-2</v>
      </c>
    </row>
    <row r="218" spans="1:8">
      <c r="A218" s="404"/>
      <c r="B218" s="72">
        <v>4</v>
      </c>
      <c r="C218" s="227">
        <v>3.1021526142119789E-2</v>
      </c>
      <c r="D218" s="227">
        <v>2.8113194809195548E-2</v>
      </c>
      <c r="E218" s="227">
        <v>2.5551128067073815E-2</v>
      </c>
      <c r="F218" s="227">
        <v>2.5315872728270121E-2</v>
      </c>
      <c r="G218" s="227">
        <v>2.3985685841093909E-2</v>
      </c>
      <c r="H218" s="227">
        <v>2.004684665569673E-2</v>
      </c>
    </row>
    <row r="219" spans="1:8">
      <c r="A219" s="404"/>
      <c r="B219" s="72">
        <v>5</v>
      </c>
      <c r="C219" s="227">
        <v>2.2158232958656994E-2</v>
      </c>
      <c r="D219" s="227">
        <v>1.9978006554549975E-2</v>
      </c>
      <c r="E219" s="227">
        <v>1.816889471249148E-2</v>
      </c>
      <c r="F219" s="227">
        <v>1.7957016816992716E-2</v>
      </c>
      <c r="G219" s="227">
        <v>1.720185550219866E-2</v>
      </c>
      <c r="H219" s="227">
        <v>1.4805396086974664E-2</v>
      </c>
    </row>
    <row r="220" spans="1:8">
      <c r="A220" s="404"/>
      <c r="B220" s="72">
        <v>6</v>
      </c>
      <c r="C220" s="227">
        <v>1.7181711785975013E-2</v>
      </c>
      <c r="D220" s="227">
        <v>1.537046630413124E-2</v>
      </c>
      <c r="E220" s="227">
        <v>1.386856460302604E-2</v>
      </c>
      <c r="F220" s="227">
        <v>1.3696626552568952E-2</v>
      </c>
      <c r="G220" s="227">
        <v>1.3117712747149483E-2</v>
      </c>
      <c r="H220" s="227">
        <v>1.153799832984922E-2</v>
      </c>
    </row>
    <row r="221" spans="1:8">
      <c r="A221" s="404"/>
      <c r="B221" s="72">
        <v>7</v>
      </c>
      <c r="C221" s="227">
        <v>1.3912464300271522E-2</v>
      </c>
      <c r="D221" s="227">
        <v>1.3030699770715477E-2</v>
      </c>
      <c r="E221" s="227">
        <v>1.1610891295556685E-2</v>
      </c>
      <c r="F221" s="227">
        <v>1.1337567480532657E-2</v>
      </c>
      <c r="G221" s="227">
        <v>1.083336171466435E-2</v>
      </c>
      <c r="H221" s="227">
        <v>9.6660516981627691E-3</v>
      </c>
    </row>
    <row r="222" spans="1:8">
      <c r="A222" s="404"/>
      <c r="B222" s="72">
        <v>8</v>
      </c>
      <c r="C222" s="227">
        <v>1.1878265864722683E-2</v>
      </c>
      <c r="D222" s="227">
        <v>1.162683985066602E-2</v>
      </c>
      <c r="E222" s="227">
        <v>1.0750825273663596E-2</v>
      </c>
      <c r="F222" s="227">
        <v>1.0316482210546795E-2</v>
      </c>
      <c r="G222" s="227">
        <v>9.6911861984217799E-3</v>
      </c>
      <c r="H222" s="227">
        <v>8.7130606856678488E-3</v>
      </c>
    </row>
    <row r="223" spans="1:8">
      <c r="A223" s="404"/>
      <c r="B223" s="72">
        <v>9</v>
      </c>
      <c r="C223" s="227">
        <v>1.1115441451391869E-2</v>
      </c>
      <c r="D223" s="227">
        <v>1.0906911686538094E-2</v>
      </c>
      <c r="E223" s="227">
        <v>1.0464136599699234E-2</v>
      </c>
      <c r="F223" s="227">
        <v>1.035169204744286E-2</v>
      </c>
      <c r="G223" s="227">
        <v>9.4835179227413142E-3</v>
      </c>
      <c r="H223" s="227">
        <v>8.5088483258475081E-3</v>
      </c>
    </row>
    <row r="224" spans="1:8">
      <c r="A224" s="404"/>
      <c r="B224" s="72">
        <v>10</v>
      </c>
      <c r="C224" s="227">
        <v>1.1006466535201752E-2</v>
      </c>
      <c r="D224" s="227">
        <v>1.1086893727570076E-2</v>
      </c>
      <c r="E224" s="227">
        <v>1.0607480936681415E-2</v>
      </c>
      <c r="F224" s="227">
        <v>1.0844629763987756E-2</v>
      </c>
      <c r="G224" s="227">
        <v>1.0071911370502637E-2</v>
      </c>
      <c r="H224" s="227">
        <v>8.9513084387915776E-3</v>
      </c>
    </row>
    <row r="225" spans="1:8">
      <c r="A225" s="404"/>
      <c r="B225" s="72">
        <v>11</v>
      </c>
      <c r="C225" s="227">
        <v>1.1442366199962218E-2</v>
      </c>
      <c r="D225" s="227">
        <v>1.1770825483491607E-2</v>
      </c>
      <c r="E225" s="227">
        <v>1.1539219127065594E-2</v>
      </c>
      <c r="F225" s="227">
        <v>1.1724875686389361E-2</v>
      </c>
      <c r="G225" s="227">
        <v>1.111025274890497E-2</v>
      </c>
      <c r="H225" s="227">
        <v>9.9723702378932792E-3</v>
      </c>
    </row>
    <row r="226" spans="1:8">
      <c r="A226" s="404"/>
      <c r="B226" s="72">
        <v>12</v>
      </c>
      <c r="C226" s="227">
        <v>1.2532115361863381E-2</v>
      </c>
      <c r="D226" s="227">
        <v>1.2886714137889893E-2</v>
      </c>
      <c r="E226" s="227">
        <v>1.2865154244150771E-2</v>
      </c>
      <c r="F226" s="227">
        <v>1.3274108509816184E-2</v>
      </c>
      <c r="G226" s="227">
        <v>1.2563930678668237E-2</v>
      </c>
      <c r="H226" s="227">
        <v>1.1435892149939052E-2</v>
      </c>
    </row>
    <row r="227" spans="1:8">
      <c r="A227" s="404"/>
      <c r="B227" s="72">
        <v>13</v>
      </c>
      <c r="C227" s="227">
        <v>1.456631379741222E-2</v>
      </c>
      <c r="D227" s="227">
        <v>1.4650538140003316E-2</v>
      </c>
      <c r="E227" s="227">
        <v>1.4585286287936946E-2</v>
      </c>
      <c r="F227" s="227">
        <v>1.5175439702203648E-2</v>
      </c>
      <c r="G227" s="227">
        <v>1.4709836194033061E-2</v>
      </c>
      <c r="H227" s="227">
        <v>1.3307838781625503E-2</v>
      </c>
    </row>
    <row r="228" spans="1:8">
      <c r="A228" s="404"/>
      <c r="B228" s="72">
        <v>14</v>
      </c>
      <c r="C228" s="227">
        <v>1.7581286478672107E-2</v>
      </c>
      <c r="D228" s="227">
        <v>1.7422261571895834E-2</v>
      </c>
      <c r="E228" s="227">
        <v>1.6914631763897393E-2</v>
      </c>
      <c r="F228" s="227">
        <v>1.7499288937343881E-2</v>
      </c>
      <c r="G228" s="227">
        <v>1.7271078260758816E-2</v>
      </c>
      <c r="H228" s="227">
        <v>1.5724351706166196E-2</v>
      </c>
    </row>
    <row r="229" spans="1:8">
      <c r="A229" s="404"/>
      <c r="B229" s="72">
        <v>15</v>
      </c>
      <c r="C229" s="227">
        <v>2.1649683349769785E-2</v>
      </c>
      <c r="D229" s="227">
        <v>2.120188443356745E-2</v>
      </c>
      <c r="E229" s="227">
        <v>2.024738759873311E-2</v>
      </c>
      <c r="F229" s="227">
        <v>2.0421705399717209E-2</v>
      </c>
      <c r="G229" s="227">
        <v>2.024765687884551E-2</v>
      </c>
      <c r="H229" s="227">
        <v>1.8447183170437396E-2</v>
      </c>
    </row>
    <row r="230" spans="1:8">
      <c r="A230" s="404"/>
      <c r="B230" s="72">
        <v>16</v>
      </c>
      <c r="C230" s="227">
        <v>2.6589879550388391E-2</v>
      </c>
      <c r="D230" s="227">
        <v>2.6097395949637354E-2</v>
      </c>
      <c r="E230" s="227">
        <v>2.4619389876689636E-2</v>
      </c>
      <c r="F230" s="227">
        <v>2.4365207132076391E-2</v>
      </c>
      <c r="G230" s="227">
        <v>2.4020297220373989E-2</v>
      </c>
      <c r="H230" s="227">
        <v>2.1544403961045892E-2</v>
      </c>
    </row>
    <row r="231" spans="1:8">
      <c r="A231" s="404"/>
      <c r="B231" s="72">
        <v>17</v>
      </c>
      <c r="C231" s="227">
        <v>3.2256575192274442E-2</v>
      </c>
      <c r="D231" s="227">
        <v>3.1856821262660769E-2</v>
      </c>
      <c r="E231" s="227">
        <v>3.0102310766258071E-2</v>
      </c>
      <c r="F231" s="227">
        <v>2.9259374460629307E-2</v>
      </c>
      <c r="G231" s="227">
        <v>2.8900501698864954E-2</v>
      </c>
      <c r="H231" s="227">
        <v>2.5288297224418797E-2</v>
      </c>
    </row>
    <row r="232" spans="1:8">
      <c r="A232" s="404"/>
      <c r="B232" s="72">
        <v>18</v>
      </c>
      <c r="C232" s="227">
        <v>3.9230969828441889E-2</v>
      </c>
      <c r="D232" s="227">
        <v>3.8228185515192921E-2</v>
      </c>
      <c r="E232" s="227">
        <v>3.6266117256491863E-2</v>
      </c>
      <c r="F232" s="227">
        <v>3.4998577874687763E-2</v>
      </c>
      <c r="G232" s="227">
        <v>3.4715213417918014E-2</v>
      </c>
      <c r="H232" s="227">
        <v>3.0087287680196789E-2</v>
      </c>
    </row>
    <row r="233" spans="1:8">
      <c r="A233" s="404"/>
      <c r="B233" s="72">
        <v>19</v>
      </c>
      <c r="C233" s="227">
        <v>4.7004513850003524E-2</v>
      </c>
      <c r="D233" s="227">
        <v>4.5859424054948944E-2</v>
      </c>
      <c r="E233" s="227">
        <v>4.2895792841917753E-2</v>
      </c>
      <c r="F233" s="227">
        <v>4.1054669820810796E-2</v>
      </c>
      <c r="G233" s="227">
        <v>4.1118318584732416E-2</v>
      </c>
      <c r="H233" s="227">
        <v>3.5737162968559534E-2</v>
      </c>
    </row>
    <row r="234" spans="1:8">
      <c r="A234" s="404"/>
      <c r="B234" s="72">
        <v>20</v>
      </c>
      <c r="C234" s="227">
        <v>5.3760958653790734E-2</v>
      </c>
      <c r="D234" s="227">
        <v>5.4282583575245694E-2</v>
      </c>
      <c r="E234" s="227">
        <v>5.0743895291692181E-2</v>
      </c>
      <c r="F234" s="227">
        <v>4.7251601114518087E-2</v>
      </c>
      <c r="G234" s="227">
        <v>4.7521423751546804E-2</v>
      </c>
      <c r="H234" s="227">
        <v>4.1863533763169737E-2</v>
      </c>
    </row>
    <row r="235" spans="1:8">
      <c r="A235" s="404"/>
      <c r="B235" s="72">
        <v>21</v>
      </c>
      <c r="C235" s="227">
        <v>6.1098603010591904E-2</v>
      </c>
      <c r="D235" s="227">
        <v>6.1373875991905774E-2</v>
      </c>
      <c r="E235" s="227">
        <v>5.9129539005149778E-2</v>
      </c>
      <c r="F235" s="227">
        <v>5.4469617678211235E-2</v>
      </c>
      <c r="G235" s="227">
        <v>5.3786083401240886E-2</v>
      </c>
      <c r="H235" s="227">
        <v>4.7887798377869772E-2</v>
      </c>
    </row>
    <row r="236" spans="1:8">
      <c r="A236" s="404"/>
      <c r="B236" s="72">
        <v>22</v>
      </c>
      <c r="C236" s="227">
        <v>6.9417021613104118E-2</v>
      </c>
      <c r="D236" s="227">
        <v>6.8933121715248999E-2</v>
      </c>
      <c r="E236" s="227">
        <v>6.5830886759066759E-2</v>
      </c>
      <c r="F236" s="227">
        <v>6.2250991632241418E-2</v>
      </c>
      <c r="G236" s="227">
        <v>6.0985250291497067E-2</v>
      </c>
      <c r="H236" s="227">
        <v>5.3912062992569815E-2</v>
      </c>
    </row>
    <row r="237" spans="1:8">
      <c r="A237" s="404"/>
      <c r="B237" s="72">
        <v>23</v>
      </c>
      <c r="C237" s="227">
        <v>7.7190565634665753E-2</v>
      </c>
      <c r="D237" s="227">
        <v>7.7428274051958554E-2</v>
      </c>
      <c r="E237" s="227">
        <v>7.2890595355439181E-2</v>
      </c>
      <c r="F237" s="227">
        <v>6.8764811458013289E-2</v>
      </c>
      <c r="G237" s="227">
        <v>6.87381992502345E-2</v>
      </c>
      <c r="H237" s="227">
        <v>6.0821247833157989E-2</v>
      </c>
    </row>
    <row r="238" spans="1:8">
      <c r="A238" s="404"/>
      <c r="B238" s="72">
        <v>24</v>
      </c>
      <c r="C238" s="227">
        <v>8.4818809767973902E-2</v>
      </c>
      <c r="D238" s="227">
        <v>8.5203498224540167E-2</v>
      </c>
      <c r="E238" s="227">
        <v>8.0810369973704707E-2</v>
      </c>
      <c r="F238" s="227">
        <v>7.5736359163433992E-2</v>
      </c>
      <c r="G238" s="227">
        <v>7.5314361313449277E-2</v>
      </c>
      <c r="H238" s="227">
        <v>6.8240963573297009E-2</v>
      </c>
    </row>
    <row r="239" spans="1:8">
      <c r="A239" s="404"/>
      <c r="B239" s="72">
        <v>25</v>
      </c>
      <c r="C239" s="227">
        <v>9.2592353789535536E-2</v>
      </c>
      <c r="D239" s="227">
        <v>9.2654754723264204E-2</v>
      </c>
      <c r="E239" s="227">
        <v>8.7798406401586038E-2</v>
      </c>
      <c r="F239" s="227">
        <v>8.3588152791256295E-2</v>
      </c>
      <c r="G239" s="227">
        <v>8.2028968893784374E-2</v>
      </c>
      <c r="H239" s="227">
        <v>7.4707688300941114E-2</v>
      </c>
    </row>
    <row r="240" spans="1:8">
      <c r="A240" s="404"/>
      <c r="B240" s="72">
        <v>26</v>
      </c>
      <c r="C240" s="227">
        <v>0.10109239725236462</v>
      </c>
      <c r="D240" s="227">
        <v>0.10032198967122662</v>
      </c>
      <c r="E240" s="227">
        <v>9.446391807125748E-2</v>
      </c>
      <c r="F240" s="227">
        <v>9.0806169354949437E-2</v>
      </c>
      <c r="G240" s="227">
        <v>8.9158913025480388E-2</v>
      </c>
      <c r="H240" s="227">
        <v>8.0731952915641156E-2</v>
      </c>
    </row>
    <row r="241" spans="1:8">
      <c r="A241" s="404"/>
      <c r="B241" s="72">
        <v>27</v>
      </c>
      <c r="C241" s="227">
        <v>0.10897491619011636</v>
      </c>
      <c r="D241" s="227">
        <v>0.10896112764076174</v>
      </c>
      <c r="E241" s="227">
        <v>0.10134444624640217</v>
      </c>
      <c r="F241" s="227">
        <v>9.7355199017617369E-2</v>
      </c>
      <c r="G241" s="227">
        <v>9.5319738537334234E-2</v>
      </c>
      <c r="H241" s="227">
        <v>8.6688146743734415E-2</v>
      </c>
    </row>
    <row r="242" spans="1:8">
      <c r="A242" s="404"/>
      <c r="B242" s="72">
        <v>28</v>
      </c>
      <c r="C242" s="227">
        <v>0.1163488855189809</v>
      </c>
      <c r="D242" s="227">
        <v>0.11716830871182012</v>
      </c>
      <c r="E242" s="227">
        <v>0.10915671261193105</v>
      </c>
      <c r="F242" s="227">
        <v>0.10334087128994827</v>
      </c>
      <c r="G242" s="227">
        <v>0.10037299991222559</v>
      </c>
      <c r="H242" s="227">
        <v>9.1895561919153101E-2</v>
      </c>
    </row>
    <row r="243" spans="1:8">
      <c r="A243" s="404"/>
      <c r="B243" s="72">
        <v>29</v>
      </c>
      <c r="C243" s="227">
        <v>0.122996355406578</v>
      </c>
      <c r="D243" s="227">
        <v>0.12508751851722733</v>
      </c>
      <c r="E243" s="227">
        <v>0.11653894596651339</v>
      </c>
      <c r="F243" s="227">
        <v>0.10936175339917524</v>
      </c>
      <c r="G243" s="227">
        <v>0.10424947439159431</v>
      </c>
      <c r="H243" s="227">
        <v>9.6047879902166663E-2</v>
      </c>
    </row>
    <row r="244" spans="1:8">
      <c r="A244" s="404"/>
      <c r="B244" s="72">
        <v>30</v>
      </c>
      <c r="C244" s="227">
        <v>0.12822715138370358</v>
      </c>
      <c r="D244" s="227">
        <v>0.13221480734209382</v>
      </c>
      <c r="E244" s="227">
        <v>0.12349114631014918</v>
      </c>
      <c r="F244" s="227">
        <v>0.11453759942289667</v>
      </c>
      <c r="G244" s="227">
        <v>0.10781444645744231</v>
      </c>
      <c r="H244" s="227">
        <v>9.9349313052595506E-2</v>
      </c>
    </row>
    <row r="245" spans="1:8">
      <c r="A245" s="404"/>
      <c r="B245" s="72">
        <v>31</v>
      </c>
      <c r="C245" s="227">
        <v>0.13156904881353382</v>
      </c>
      <c r="D245" s="227">
        <v>0.13743428653202125</v>
      </c>
      <c r="E245" s="227">
        <v>0.12954744454764636</v>
      </c>
      <c r="F245" s="227">
        <v>0.11936134707765747</v>
      </c>
      <c r="G245" s="227">
        <v>0.11086024783408917</v>
      </c>
      <c r="H245" s="227">
        <v>0.10268478159632774</v>
      </c>
    </row>
    <row r="246" spans="1:8">
      <c r="A246" s="404"/>
      <c r="B246" s="72">
        <v>32</v>
      </c>
      <c r="C246" s="227">
        <v>0.13287674780781522</v>
      </c>
      <c r="D246" s="227">
        <v>0.13991803869826261</v>
      </c>
      <c r="E246" s="227">
        <v>0.13374026640437514</v>
      </c>
      <c r="F246" s="227">
        <v>0.12358652750518517</v>
      </c>
      <c r="G246" s="227">
        <v>0.1140791061071364</v>
      </c>
      <c r="H246" s="227">
        <v>0.10625849789318369</v>
      </c>
    </row>
    <row r="247" spans="1:8">
      <c r="A247" s="404"/>
      <c r="B247" s="72">
        <v>33</v>
      </c>
      <c r="C247" s="227">
        <v>0.1322592232827379</v>
      </c>
      <c r="D247" s="227">
        <v>0.13937809257516667</v>
      </c>
      <c r="E247" s="227">
        <v>0.13535289019542468</v>
      </c>
      <c r="F247" s="227">
        <v>0.12679062266272698</v>
      </c>
      <c r="G247" s="227">
        <v>0.11736718713874379</v>
      </c>
      <c r="H247" s="227">
        <v>0.11078520520253456</v>
      </c>
    </row>
    <row r="248" spans="1:8">
      <c r="A248" s="404"/>
      <c r="B248" s="72">
        <v>34</v>
      </c>
      <c r="C248" s="227">
        <v>0.13087887434432977</v>
      </c>
      <c r="D248" s="227">
        <v>0.13621040865300379</v>
      </c>
      <c r="E248" s="227">
        <v>0.13431364375230387</v>
      </c>
      <c r="F248" s="227">
        <v>0.12833985548615384</v>
      </c>
      <c r="G248" s="227">
        <v>0.12006687472258985</v>
      </c>
      <c r="H248" s="227">
        <v>0.11558419565831254</v>
      </c>
    </row>
    <row r="249" spans="1:8">
      <c r="A249" s="404"/>
      <c r="B249" s="72">
        <v>35</v>
      </c>
      <c r="C249" s="227">
        <v>0.12982545015449196</v>
      </c>
      <c r="D249" s="227">
        <v>0.1320708217092682</v>
      </c>
      <c r="E249" s="227">
        <v>0.13094505183322261</v>
      </c>
      <c r="F249" s="227">
        <v>0.127882127606505</v>
      </c>
      <c r="G249" s="227">
        <v>0.12152055265235312</v>
      </c>
      <c r="H249" s="227">
        <v>0.11994072600114647</v>
      </c>
    </row>
    <row r="250" spans="1:8">
      <c r="A250" s="404"/>
      <c r="B250" s="72">
        <v>36</v>
      </c>
      <c r="C250" s="227">
        <v>0.13011604993099893</v>
      </c>
      <c r="D250" s="227">
        <v>0.12854317370504134</v>
      </c>
      <c r="E250" s="227">
        <v>0.1268239021449849</v>
      </c>
      <c r="F250" s="227">
        <v>0.12583995706653328</v>
      </c>
      <c r="G250" s="227">
        <v>0.12117443885955236</v>
      </c>
      <c r="H250" s="227">
        <v>0.12256145128550751</v>
      </c>
    </row>
    <row r="251" spans="1:8">
      <c r="A251" s="404"/>
      <c r="B251" s="72">
        <v>37</v>
      </c>
      <c r="C251" s="227">
        <v>0.12931690054560477</v>
      </c>
      <c r="D251" s="227">
        <v>0.12699532815216633</v>
      </c>
      <c r="E251" s="227">
        <v>0.12338363805741254</v>
      </c>
      <c r="F251" s="227">
        <v>0.12288233076726389</v>
      </c>
      <c r="G251" s="227">
        <v>0.11968614955050901</v>
      </c>
      <c r="H251" s="227">
        <v>0.12279969903863125</v>
      </c>
    </row>
    <row r="252" spans="1:8">
      <c r="A252" s="404"/>
      <c r="B252" s="72">
        <v>38</v>
      </c>
      <c r="C252" s="227">
        <v>0.12775492674687974</v>
      </c>
      <c r="D252" s="227">
        <v>0.1253034969664657</v>
      </c>
      <c r="E252" s="227">
        <v>0.12180685035060855</v>
      </c>
      <c r="F252" s="227">
        <v>0.11978386512041024</v>
      </c>
      <c r="G252" s="227">
        <v>0.11733257575946371</v>
      </c>
      <c r="H252" s="227">
        <v>0.12177863723952953</v>
      </c>
    </row>
    <row r="253" spans="1:8">
      <c r="A253" s="404"/>
      <c r="B253" s="72">
        <v>39</v>
      </c>
      <c r="C253" s="227">
        <v>0.12753697691449953</v>
      </c>
      <c r="D253" s="227">
        <v>0.12389963704641622</v>
      </c>
      <c r="E253" s="227">
        <v>0.1199433739698402</v>
      </c>
      <c r="F253" s="227">
        <v>0.11777690441733459</v>
      </c>
      <c r="G253" s="227">
        <v>0.11442521989993718</v>
      </c>
      <c r="H253" s="227">
        <v>0.11960037206811257</v>
      </c>
    </row>
    <row r="254" spans="1:8">
      <c r="A254" s="404"/>
      <c r="B254" s="72">
        <v>40</v>
      </c>
      <c r="C254" s="227">
        <v>0.12713740222180242</v>
      </c>
      <c r="D254" s="227">
        <v>0.12447557957771858</v>
      </c>
      <c r="E254" s="227">
        <v>0.11815156975756294</v>
      </c>
      <c r="F254" s="227">
        <v>0.11534742567150615</v>
      </c>
      <c r="G254" s="227">
        <v>0.11231392576385242</v>
      </c>
      <c r="H254" s="227">
        <v>0.11663929285071764</v>
      </c>
    </row>
    <row r="255" spans="1:8">
      <c r="A255" s="404"/>
      <c r="B255" s="72">
        <v>41</v>
      </c>
      <c r="C255" s="227">
        <v>0.12713740222180242</v>
      </c>
      <c r="D255" s="227">
        <v>0.12526750055825928</v>
      </c>
      <c r="E255" s="227">
        <v>0.11833075017879066</v>
      </c>
      <c r="F255" s="227">
        <v>0.11344609447911869</v>
      </c>
      <c r="G255" s="227">
        <v>0.10999496335208722</v>
      </c>
      <c r="H255" s="227">
        <v>0.11456313385921085</v>
      </c>
    </row>
    <row r="256" spans="1:8">
      <c r="A256" s="404"/>
      <c r="B256" s="72">
        <v>42</v>
      </c>
      <c r="C256" s="227">
        <v>0.12779125171894312</v>
      </c>
      <c r="D256" s="227">
        <v>0.12641938562086397</v>
      </c>
      <c r="E256" s="227">
        <v>0.11883245535822828</v>
      </c>
      <c r="F256" s="227">
        <v>0.11386861252187146</v>
      </c>
      <c r="G256" s="227">
        <v>0.10826439438808333</v>
      </c>
      <c r="H256" s="227">
        <v>0.11265715183422101</v>
      </c>
    </row>
    <row r="257" spans="1:8">
      <c r="A257" s="404"/>
      <c r="B257" s="72">
        <v>43</v>
      </c>
      <c r="C257" s="227">
        <v>0.1287357009925908</v>
      </c>
      <c r="D257" s="227">
        <v>0.12793123476553264</v>
      </c>
      <c r="E257" s="227">
        <v>0.12005088222257683</v>
      </c>
      <c r="F257" s="227">
        <v>0.11555868469288252</v>
      </c>
      <c r="G257" s="227">
        <v>0.1087835650772845</v>
      </c>
      <c r="H257" s="227">
        <v>0.1120104793614566</v>
      </c>
    </row>
    <row r="258" spans="1:8">
      <c r="A258" s="404"/>
      <c r="B258" s="72">
        <v>44</v>
      </c>
      <c r="C258" s="227">
        <v>0.12917160065735125</v>
      </c>
      <c r="D258" s="227">
        <v>0.12937109109378847</v>
      </c>
      <c r="E258" s="227">
        <v>0.12202186685608182</v>
      </c>
      <c r="F258" s="227">
        <v>0.11851631099215193</v>
      </c>
      <c r="G258" s="227">
        <v>0.11044491128272824</v>
      </c>
      <c r="H258" s="227">
        <v>0.11378031981323287</v>
      </c>
    </row>
    <row r="259" spans="1:8">
      <c r="A259" s="404"/>
      <c r="B259" s="72">
        <v>45</v>
      </c>
      <c r="C259" s="227">
        <v>0.12928057557354136</v>
      </c>
      <c r="D259" s="227">
        <v>0.13001902644150362</v>
      </c>
      <c r="E259" s="227">
        <v>0.12420786799506009</v>
      </c>
      <c r="F259" s="227">
        <v>0.12224855370313473</v>
      </c>
      <c r="G259" s="227">
        <v>0.1131445988665743</v>
      </c>
      <c r="H259" s="227">
        <v>0.11697964678375154</v>
      </c>
    </row>
    <row r="260" spans="1:8">
      <c r="A260" s="404"/>
      <c r="B260" s="72">
        <v>46</v>
      </c>
      <c r="C260" s="227">
        <v>0.12971647523830185</v>
      </c>
      <c r="D260" s="227">
        <v>0.1301630120743292</v>
      </c>
      <c r="E260" s="227">
        <v>0.12574881961761852</v>
      </c>
      <c r="F260" s="227">
        <v>0.12605121608790965</v>
      </c>
      <c r="G260" s="227">
        <v>0.11625962300178129</v>
      </c>
      <c r="H260" s="227">
        <v>0.12123407094667529</v>
      </c>
    </row>
    <row r="261" spans="1:8">
      <c r="A261" s="404"/>
      <c r="B261" s="72">
        <v>47</v>
      </c>
      <c r="C261" s="227">
        <v>0.13044297467956931</v>
      </c>
      <c r="D261" s="227">
        <v>0.13059496897280595</v>
      </c>
      <c r="E261" s="227">
        <v>0.12668055780800272</v>
      </c>
      <c r="F261" s="227">
        <v>0.12865674401821839</v>
      </c>
      <c r="G261" s="227">
        <v>0.11944386989554846</v>
      </c>
      <c r="H261" s="227">
        <v>0.12535235353638549</v>
      </c>
    </row>
    <row r="262" spans="1:8">
      <c r="A262" s="404"/>
      <c r="B262" s="72">
        <v>48</v>
      </c>
      <c r="C262" s="227">
        <v>0.13167802372972393</v>
      </c>
      <c r="D262" s="227">
        <v>0.13142288636155308</v>
      </c>
      <c r="E262" s="227">
        <v>0.12754062382989578</v>
      </c>
      <c r="F262" s="227">
        <v>0.12950178010372393</v>
      </c>
      <c r="G262" s="227">
        <v>0.12193588920371405</v>
      </c>
      <c r="H262" s="227">
        <v>0.12953870691270244</v>
      </c>
    </row>
    <row r="263" spans="1:8">
      <c r="A263" s="404"/>
      <c r="B263" s="72">
        <v>49</v>
      </c>
      <c r="C263" s="227">
        <v>0.13447504657860357</v>
      </c>
      <c r="D263" s="227">
        <v>0.13282674628160251</v>
      </c>
      <c r="E263" s="227">
        <v>0.1283290176832978</v>
      </c>
      <c r="F263" s="227">
        <v>0.12922010140855542</v>
      </c>
      <c r="G263" s="227">
        <v>0.12321651023707694</v>
      </c>
      <c r="H263" s="227">
        <v>0.13318049399616522</v>
      </c>
    </row>
    <row r="264" spans="1:8">
      <c r="A264" s="404"/>
      <c r="B264" s="72">
        <v>50</v>
      </c>
      <c r="C264" s="227">
        <v>0.13930626786303207</v>
      </c>
      <c r="D264" s="227">
        <v>0.13577845175452705</v>
      </c>
      <c r="E264" s="227">
        <v>0.1292965919579275</v>
      </c>
      <c r="F264" s="227">
        <v>0.12848069483373808</v>
      </c>
      <c r="G264" s="227">
        <v>0.12390873782267849</v>
      </c>
      <c r="H264" s="227">
        <v>0.13559700692070589</v>
      </c>
    </row>
    <row r="265" spans="1:8">
      <c r="A265" s="404"/>
      <c r="B265" s="72">
        <v>51</v>
      </c>
      <c r="C265" s="227">
        <v>0.14548151311380533</v>
      </c>
      <c r="D265" s="227">
        <v>0.14067396327059692</v>
      </c>
      <c r="E265" s="227">
        <v>0.13166177351813352</v>
      </c>
      <c r="F265" s="227">
        <v>0.12848069483373808</v>
      </c>
      <c r="G265" s="227">
        <v>0.12473941092540035</v>
      </c>
      <c r="H265" s="227">
        <v>0.13770720130551609</v>
      </c>
    </row>
    <row r="266" spans="1:8">
      <c r="A266" s="404"/>
      <c r="B266" s="72">
        <v>52</v>
      </c>
      <c r="C266" s="227">
        <v>0.15231060786171929</v>
      </c>
      <c r="D266" s="227">
        <v>0.14679335266568433</v>
      </c>
      <c r="E266" s="227">
        <v>0.13606961188033559</v>
      </c>
      <c r="F266" s="227">
        <v>0.13083975390577438</v>
      </c>
      <c r="G266" s="227">
        <v>0.12674687092364487</v>
      </c>
      <c r="H266" s="227">
        <v>0.14025985580327033</v>
      </c>
    </row>
    <row r="267" spans="1:8">
      <c r="A267" s="404"/>
      <c r="B267" s="72">
        <v>53</v>
      </c>
      <c r="C267" s="227">
        <v>0.15837687819630245</v>
      </c>
      <c r="D267" s="227">
        <v>0.15341669177566125</v>
      </c>
      <c r="E267" s="227">
        <v>0.14198256578085058</v>
      </c>
      <c r="F267" s="227">
        <v>0.13643811797224858</v>
      </c>
      <c r="G267" s="227">
        <v>0.13135018436789522</v>
      </c>
      <c r="H267" s="227">
        <v>0.14471849232601441</v>
      </c>
    </row>
    <row r="268" spans="1:8">
      <c r="A268" s="404"/>
      <c r="B268" s="72">
        <v>54</v>
      </c>
      <c r="C268" s="227">
        <v>0.16269954987184373</v>
      </c>
      <c r="D268" s="227">
        <v>0.15921211349689104</v>
      </c>
      <c r="E268" s="227">
        <v>0.14897060220873193</v>
      </c>
      <c r="F268" s="227">
        <v>0.14418428208938266</v>
      </c>
      <c r="G268" s="227">
        <v>0.13889546505095215</v>
      </c>
      <c r="H268" s="227">
        <v>0.15241049121258057</v>
      </c>
    </row>
    <row r="269" spans="1:8">
      <c r="A269" s="404"/>
      <c r="B269" s="72">
        <v>55</v>
      </c>
      <c r="C269" s="227">
        <v>0.16447947350294898</v>
      </c>
      <c r="D269" s="227">
        <v>0.16331570403242024</v>
      </c>
      <c r="E269" s="227">
        <v>0.15556444170991224</v>
      </c>
      <c r="F269" s="227">
        <v>0.15288111180271055</v>
      </c>
      <c r="G269" s="227">
        <v>0.14761753262953176</v>
      </c>
      <c r="H269" s="227">
        <v>0.16360813560939588</v>
      </c>
    </row>
    <row r="270" spans="1:8">
      <c r="A270" s="404"/>
      <c r="B270" s="72">
        <v>56</v>
      </c>
      <c r="C270" s="227">
        <v>0.16433417361469549</v>
      </c>
      <c r="D270" s="227">
        <v>0.16489954599350168</v>
      </c>
      <c r="E270" s="227">
        <v>0.16065316567277968</v>
      </c>
      <c r="F270" s="227">
        <v>0.16119063331018166</v>
      </c>
      <c r="G270" s="227">
        <v>0.15578581813963013</v>
      </c>
      <c r="H270" s="227">
        <v>0.17558859405218918</v>
      </c>
    </row>
    <row r="271" spans="1:8">
      <c r="A271" s="404"/>
      <c r="B271" s="72">
        <v>57</v>
      </c>
      <c r="C271" s="227">
        <v>0.16284484976009722</v>
      </c>
      <c r="D271" s="227">
        <v>0.16461157472785051</v>
      </c>
      <c r="E271" s="227">
        <v>0.16305418331723123</v>
      </c>
      <c r="F271" s="227">
        <v>0.16724672525630471</v>
      </c>
      <c r="G271" s="227">
        <v>0.1627080939956457</v>
      </c>
      <c r="H271" s="227">
        <v>0.18590131822311634</v>
      </c>
    </row>
    <row r="272" spans="1:8">
      <c r="A272" s="404"/>
      <c r="B272" s="72">
        <v>58</v>
      </c>
      <c r="C272" s="227">
        <v>0.15921235255375998</v>
      </c>
      <c r="D272" s="227">
        <v>0.16295573995035628</v>
      </c>
      <c r="E272" s="227">
        <v>0.16319752765421339</v>
      </c>
      <c r="F272" s="227">
        <v>0.17009872204488588</v>
      </c>
      <c r="G272" s="227">
        <v>0.1673460188191761</v>
      </c>
      <c r="H272" s="227">
        <v>0.19461437890878419</v>
      </c>
    </row>
    <row r="273" spans="1:8">
      <c r="A273" s="404"/>
      <c r="B273" s="72">
        <v>59</v>
      </c>
      <c r="C273" s="227">
        <v>0.15568883026361291</v>
      </c>
      <c r="D273" s="227">
        <v>0.15903213145585907</v>
      </c>
      <c r="E273" s="227">
        <v>0.16151323169467277</v>
      </c>
      <c r="F273" s="227">
        <v>0.17013393188178197</v>
      </c>
      <c r="G273" s="227">
        <v>0.16963036985166124</v>
      </c>
      <c r="H273" s="227">
        <v>0.20108110363642831</v>
      </c>
    </row>
    <row r="274" spans="1:8">
      <c r="A274" s="404"/>
      <c r="B274" s="72">
        <v>60</v>
      </c>
      <c r="C274" s="227">
        <v>0.15467173104583851</v>
      </c>
      <c r="D274" s="227">
        <v>0.15518051577777467</v>
      </c>
      <c r="E274" s="227">
        <v>0.15739208200643504</v>
      </c>
      <c r="F274" s="227">
        <v>0.16784529248353777</v>
      </c>
      <c r="G274" s="227">
        <v>0.17028798605798273</v>
      </c>
      <c r="H274" s="227">
        <v>0.20570991712568934</v>
      </c>
    </row>
    <row r="275" spans="1:8">
      <c r="A275" s="404"/>
      <c r="B275" s="72">
        <v>61</v>
      </c>
      <c r="C275" s="227">
        <v>0.15608840495630999</v>
      </c>
      <c r="D275" s="227">
        <v>0.1538846450823444</v>
      </c>
      <c r="E275" s="227">
        <v>0.15348594882367061</v>
      </c>
      <c r="F275" s="227">
        <v>0.16372574156669831</v>
      </c>
      <c r="G275" s="227">
        <v>0.16959575847238118</v>
      </c>
      <c r="H275" s="227">
        <v>0.20911345645602836</v>
      </c>
    </row>
    <row r="276" spans="1:8">
      <c r="A276" s="404"/>
      <c r="B276" s="72">
        <v>62</v>
      </c>
      <c r="C276" s="227">
        <v>0.15786832858741523</v>
      </c>
      <c r="D276" s="227">
        <v>0.15525250859418743</v>
      </c>
      <c r="E276" s="227">
        <v>0.15255421063328645</v>
      </c>
      <c r="F276" s="227">
        <v>0.16045122673536433</v>
      </c>
      <c r="G276" s="227">
        <v>0.16769213261197691</v>
      </c>
      <c r="H276" s="227">
        <v>0.21030469522164702</v>
      </c>
    </row>
    <row r="277" spans="1:8">
      <c r="A277" s="404"/>
      <c r="B277" s="72">
        <v>63</v>
      </c>
      <c r="C277" s="227">
        <v>0.15775935367122512</v>
      </c>
      <c r="D277" s="227">
        <v>0.15730430386195204</v>
      </c>
      <c r="E277" s="227">
        <v>0.15481188394075579</v>
      </c>
      <c r="F277" s="227">
        <v>0.16066248575674072</v>
      </c>
      <c r="G277" s="227">
        <v>0.1664461229578941</v>
      </c>
      <c r="H277" s="227">
        <v>0.20938573960245549</v>
      </c>
    </row>
    <row r="278" spans="1:8">
      <c r="A278" s="404"/>
      <c r="B278" s="72">
        <v>64</v>
      </c>
      <c r="C278" s="227">
        <v>0.15637900473281699</v>
      </c>
      <c r="D278" s="227">
        <v>0.1579162428014608</v>
      </c>
      <c r="E278" s="227">
        <v>0.15818047585983705</v>
      </c>
      <c r="F278" s="227">
        <v>0.16407783993565894</v>
      </c>
      <c r="G278" s="227">
        <v>0.16779596674981712</v>
      </c>
      <c r="H278" s="227">
        <v>0.20778607611719616</v>
      </c>
    </row>
    <row r="279" spans="1:8">
      <c r="A279" s="404"/>
      <c r="B279" s="72">
        <v>65</v>
      </c>
      <c r="C279" s="227">
        <v>0.15332770707949372</v>
      </c>
      <c r="D279" s="227">
        <v>0.15737629667836486</v>
      </c>
      <c r="E279" s="227">
        <v>0.16000811615635988</v>
      </c>
      <c r="F279" s="227">
        <v>0.1674579842776811</v>
      </c>
      <c r="G279" s="227">
        <v>0.17063409985078351</v>
      </c>
      <c r="H279" s="227">
        <v>0.20761589915067921</v>
      </c>
    </row>
    <row r="280" spans="1:8">
      <c r="A280" s="404"/>
      <c r="B280" s="72">
        <v>66</v>
      </c>
      <c r="C280" s="227">
        <v>0.14911401032014254</v>
      </c>
      <c r="D280" s="227">
        <v>0.15492854092032987</v>
      </c>
      <c r="E280" s="227">
        <v>0.16011562440909652</v>
      </c>
      <c r="F280" s="227">
        <v>0.16802134166801813</v>
      </c>
      <c r="G280" s="227">
        <v>0.17167244122918582</v>
      </c>
      <c r="H280" s="227">
        <v>0.20816046544353345</v>
      </c>
    </row>
    <row r="281" spans="1:8">
      <c r="A281" s="404"/>
      <c r="B281" s="72">
        <v>67</v>
      </c>
      <c r="C281" s="227">
        <v>0.14450073886809431</v>
      </c>
      <c r="D281" s="227">
        <v>0.15071696116018152</v>
      </c>
      <c r="E281" s="227">
        <v>0.15721290158520734</v>
      </c>
      <c r="F281" s="227">
        <v>0.16474682683668415</v>
      </c>
      <c r="G281" s="227">
        <v>0.16904197640389992</v>
      </c>
      <c r="H281" s="227">
        <v>0.20601623566541988</v>
      </c>
    </row>
    <row r="282" spans="1:8">
      <c r="A282" s="404"/>
      <c r="B282" s="72">
        <v>68</v>
      </c>
      <c r="C282" s="227">
        <v>0.13788959395256056</v>
      </c>
      <c r="D282" s="227">
        <v>0.14524550711280929</v>
      </c>
      <c r="E282" s="227">
        <v>0.15144329202167453</v>
      </c>
      <c r="F282" s="227">
        <v>0.15728234141471856</v>
      </c>
      <c r="G282" s="227">
        <v>0.16267348261636561</v>
      </c>
      <c r="H282" s="227">
        <v>0.20104706824312493</v>
      </c>
    </row>
    <row r="283" spans="1:8">
      <c r="A283" s="404"/>
      <c r="B283" s="72">
        <v>69</v>
      </c>
      <c r="C283" s="227">
        <v>0.13178699864591403</v>
      </c>
      <c r="D283" s="227">
        <v>0.1370023296335445</v>
      </c>
      <c r="E283" s="227">
        <v>0.14377436999312782</v>
      </c>
      <c r="F283" s="227">
        <v>0.14749400675761273</v>
      </c>
      <c r="G283" s="227">
        <v>0.15363991262426532</v>
      </c>
      <c r="H283" s="227">
        <v>0.19349121092977234</v>
      </c>
    </row>
    <row r="284" spans="1:8">
      <c r="A284" s="404"/>
      <c r="B284" s="72">
        <v>70</v>
      </c>
      <c r="C284" s="227">
        <v>0.12960750032211174</v>
      </c>
      <c r="D284" s="227">
        <v>0.12897513060351812</v>
      </c>
      <c r="E284" s="227">
        <v>0.13334606947767413</v>
      </c>
      <c r="F284" s="227">
        <v>0.13696626552568955</v>
      </c>
      <c r="G284" s="227">
        <v>0.14481401090784549</v>
      </c>
      <c r="H284" s="227">
        <v>0.18467604406419433</v>
      </c>
    </row>
    <row r="285" spans="1:8">
      <c r="A285" s="404"/>
      <c r="B285" s="72">
        <v>71</v>
      </c>
      <c r="C285" s="227">
        <v>0.13084254937226636</v>
      </c>
      <c r="D285" s="227">
        <v>0.12443958316951217</v>
      </c>
      <c r="E285" s="227">
        <v>0.12467373709025217</v>
      </c>
      <c r="F285" s="227">
        <v>0.12393862587414581</v>
      </c>
      <c r="G285" s="227">
        <v>0.13526127022654402</v>
      </c>
      <c r="H285" s="227">
        <v>0.17490788618612138</v>
      </c>
    </row>
    <row r="286" spans="1:8">
      <c r="A286" s="404"/>
      <c r="B286" s="72">
        <v>72</v>
      </c>
      <c r="C286" s="227">
        <v>0.13047929965163266</v>
      </c>
      <c r="D286" s="227">
        <v>0.12400762627103541</v>
      </c>
      <c r="E286" s="227">
        <v>0.12044507914927784</v>
      </c>
      <c r="F286" s="227">
        <v>0.11467843877048092</v>
      </c>
      <c r="G286" s="227">
        <v>0.12411640609835894</v>
      </c>
      <c r="H286" s="227">
        <v>0.16367620639600267</v>
      </c>
    </row>
    <row r="287" spans="1:8">
      <c r="A287" s="404"/>
      <c r="B287" s="72">
        <v>73</v>
      </c>
      <c r="C287" s="227">
        <v>0.12470362909355648</v>
      </c>
      <c r="D287" s="227">
        <v>0.12389963704641622</v>
      </c>
      <c r="E287" s="227">
        <v>0.12044507914927784</v>
      </c>
      <c r="F287" s="227">
        <v>0.11316441578395017</v>
      </c>
      <c r="G287" s="227">
        <v>0.11864780817210667</v>
      </c>
      <c r="H287" s="227">
        <v>0.1515936417732992</v>
      </c>
    </row>
    <row r="288" spans="1:8">
      <c r="A288" s="404"/>
      <c r="B288" s="72">
        <v>74</v>
      </c>
      <c r="C288" s="227">
        <v>0.11714803490437509</v>
      </c>
      <c r="D288" s="227">
        <v>0.11990403573550623</v>
      </c>
      <c r="E288" s="227">
        <v>0.12173517818211746</v>
      </c>
      <c r="F288" s="227">
        <v>0.11661497979976446</v>
      </c>
      <c r="G288" s="227">
        <v>0.12013609748115002</v>
      </c>
      <c r="H288" s="227">
        <v>0.14393567828003645</v>
      </c>
    </row>
    <row r="289" spans="1:8">
      <c r="A289" s="404"/>
      <c r="B289" s="72">
        <v>75</v>
      </c>
      <c r="C289" s="227">
        <v>0.10988304049170067</v>
      </c>
      <c r="D289" s="227">
        <v>0.11500852421943634</v>
      </c>
      <c r="E289" s="227">
        <v>0.11944166879040256</v>
      </c>
      <c r="F289" s="227">
        <v>0.12094578973798036</v>
      </c>
      <c r="G289" s="227">
        <v>0.12463557678756013</v>
      </c>
      <c r="H289" s="227">
        <v>0.1369924580461449</v>
      </c>
    </row>
    <row r="290" spans="1:8">
      <c r="A290" s="404"/>
      <c r="B290" s="72">
        <v>76</v>
      </c>
      <c r="C290" s="227">
        <v>0.10283599591140648</v>
      </c>
      <c r="D290" s="227">
        <v>0.11032899115260481</v>
      </c>
      <c r="E290" s="227">
        <v>0.1157505521131114</v>
      </c>
      <c r="F290" s="227">
        <v>0.12031201267385119</v>
      </c>
      <c r="G290" s="227">
        <v>0.12757754402636673</v>
      </c>
      <c r="H290" s="227">
        <v>0.13406541422205334</v>
      </c>
    </row>
    <row r="291" spans="1:8">
      <c r="A291" s="404"/>
      <c r="B291" s="72">
        <v>77</v>
      </c>
      <c r="C291" s="227">
        <v>9.6842375520950069E-2</v>
      </c>
      <c r="D291" s="227">
        <v>0.10510951196267734</v>
      </c>
      <c r="E291" s="227">
        <v>0.11123520549817267</v>
      </c>
      <c r="F291" s="227">
        <v>0.11608683224632349</v>
      </c>
      <c r="G291" s="227">
        <v>0.12287039644427616</v>
      </c>
      <c r="H291" s="227">
        <v>0.13192118444393977</v>
      </c>
    </row>
    <row r="292" spans="1:8">
      <c r="A292" s="404"/>
      <c r="B292" s="72">
        <v>78</v>
      </c>
      <c r="C292" s="227">
        <v>9.1320979767317512E-2</v>
      </c>
      <c r="D292" s="227">
        <v>9.9530068690685897E-2</v>
      </c>
      <c r="E292" s="227">
        <v>0.10496389075520225</v>
      </c>
      <c r="F292" s="227">
        <v>0.10890402551952641</v>
      </c>
      <c r="G292" s="227">
        <v>0.11345610128009499</v>
      </c>
      <c r="H292" s="227">
        <v>0.12623727376227364</v>
      </c>
    </row>
    <row r="293" spans="1:8">
      <c r="A293" s="404"/>
      <c r="B293" s="72">
        <v>79</v>
      </c>
      <c r="C293" s="227">
        <v>8.8451306974311111E-2</v>
      </c>
      <c r="D293" s="227">
        <v>9.3014718805328161E-2</v>
      </c>
      <c r="E293" s="227">
        <v>9.7474149147883271E-2</v>
      </c>
      <c r="F293" s="227">
        <v>9.9150900699316646E-2</v>
      </c>
      <c r="G293" s="227">
        <v>0.10213818025550957</v>
      </c>
      <c r="H293" s="227">
        <v>0.12024704454087698</v>
      </c>
    </row>
    <row r="294" spans="1:8">
      <c r="A294" s="404"/>
      <c r="B294" s="72">
        <v>80</v>
      </c>
      <c r="C294" s="227">
        <v>8.9940630828909365E-2</v>
      </c>
      <c r="D294" s="227">
        <v>8.8119207289258275E-2</v>
      </c>
      <c r="E294" s="227">
        <v>8.8837652844706863E-2</v>
      </c>
      <c r="F294" s="227">
        <v>8.8517529956705268E-2</v>
      </c>
      <c r="G294" s="227">
        <v>9.0231865783162793E-2</v>
      </c>
      <c r="H294" s="227">
        <v>0.11469927543242441</v>
      </c>
    </row>
    <row r="295" spans="1:8">
      <c r="A295" s="404"/>
      <c r="B295" s="72">
        <v>81</v>
      </c>
      <c r="C295" s="227">
        <v>9.444492736476752E-2</v>
      </c>
      <c r="D295" s="227">
        <v>8.7003318634859966E-2</v>
      </c>
      <c r="E295" s="227">
        <v>8.2064632922298791E-2</v>
      </c>
      <c r="F295" s="227">
        <v>7.8165837909262403E-2</v>
      </c>
      <c r="G295" s="227">
        <v>7.9779229240579314E-2</v>
      </c>
      <c r="H295" s="227">
        <v>0.10850483385120742</v>
      </c>
    </row>
    <row r="296" spans="1:8">
      <c r="A296" s="404"/>
      <c r="B296" s="72">
        <v>82</v>
      </c>
      <c r="C296" s="227">
        <v>9.6842375520950069E-2</v>
      </c>
      <c r="D296" s="227">
        <v>8.8695149820560606E-2</v>
      </c>
      <c r="E296" s="227">
        <v>7.9448598772373979E-2</v>
      </c>
      <c r="F296" s="227">
        <v>7.0947821345569276E-2</v>
      </c>
      <c r="G296" s="227">
        <v>7.1126384420559866E-2</v>
      </c>
      <c r="H296" s="227">
        <v>0.10149354283070908</v>
      </c>
    </row>
    <row r="297" spans="1:8">
      <c r="A297" s="404"/>
      <c r="B297" s="72">
        <v>83</v>
      </c>
      <c r="C297" s="227">
        <v>9.2955603510169252E-2</v>
      </c>
      <c r="D297" s="227">
        <v>8.8983121086211772E-2</v>
      </c>
      <c r="E297" s="227">
        <v>8.0129484373039336E-2</v>
      </c>
      <c r="F297" s="227">
        <v>6.841271308905264E-2</v>
      </c>
      <c r="G297" s="227">
        <v>6.5969288907828272E-2</v>
      </c>
      <c r="H297" s="227">
        <v>9.3086800684771737E-2</v>
      </c>
    </row>
    <row r="298" spans="1:8">
      <c r="A298" s="404"/>
      <c r="B298" s="72">
        <v>84</v>
      </c>
      <c r="C298" s="227">
        <v>8.5218384460670996E-2</v>
      </c>
      <c r="D298" s="227">
        <v>8.4411577243999447E-2</v>
      </c>
      <c r="E298" s="227">
        <v>8.0165320457284889E-2</v>
      </c>
      <c r="F298" s="227">
        <v>6.9539427869726694E-2</v>
      </c>
      <c r="G298" s="227">
        <v>6.5450118218627104E-2</v>
      </c>
      <c r="H298" s="227">
        <v>8.5871297304453045E-2</v>
      </c>
    </row>
    <row r="299" spans="1:8">
      <c r="A299" s="404"/>
      <c r="B299" s="72">
        <v>85</v>
      </c>
      <c r="C299" s="227">
        <v>7.5955516584511107E-2</v>
      </c>
      <c r="D299" s="227">
        <v>7.7356281235545749E-2</v>
      </c>
      <c r="E299" s="227">
        <v>7.6259187274520454E-2</v>
      </c>
      <c r="F299" s="227">
        <v>7.0384463955232235E-2</v>
      </c>
      <c r="G299" s="227">
        <v>6.7907526147512623E-2</v>
      </c>
      <c r="H299" s="227">
        <v>8.1957227074563196E-2</v>
      </c>
    </row>
    <row r="300" spans="1:8">
      <c r="A300" s="404"/>
      <c r="B300" s="72">
        <v>86</v>
      </c>
      <c r="C300" s="227">
        <v>6.5966149267083773E-2</v>
      </c>
      <c r="D300" s="227">
        <v>6.9401075021932157E-2</v>
      </c>
      <c r="E300" s="227">
        <v>7.0202889037023278E-2</v>
      </c>
      <c r="F300" s="227">
        <v>6.7602886840443174E-2</v>
      </c>
      <c r="G300" s="227">
        <v>6.9395815456555973E-2</v>
      </c>
      <c r="H300" s="227">
        <v>8.0323528196000471E-2</v>
      </c>
    </row>
    <row r="301" spans="1:8">
      <c r="A301" s="404"/>
      <c r="B301" s="72">
        <v>87</v>
      </c>
      <c r="C301" s="227">
        <v>5.6194731782036669E-2</v>
      </c>
      <c r="D301" s="227">
        <v>6.0797933460603429E-2</v>
      </c>
      <c r="E301" s="227">
        <v>6.3143180440650856E-2</v>
      </c>
      <c r="F301" s="227">
        <v>6.2356621142929607E-2</v>
      </c>
      <c r="G301" s="227">
        <v>6.6384625459189203E-2</v>
      </c>
      <c r="H301" s="227">
        <v>7.71922720120886E-2</v>
      </c>
    </row>
    <row r="302" spans="1:8">
      <c r="A302" s="404"/>
      <c r="B302" s="72">
        <v>88</v>
      </c>
      <c r="C302" s="227">
        <v>4.6750239045559923E-2</v>
      </c>
      <c r="D302" s="227">
        <v>5.208680267465552E-2</v>
      </c>
      <c r="E302" s="227">
        <v>5.5187569738139798E-2</v>
      </c>
      <c r="F302" s="227">
        <v>5.5666752132677418E-2</v>
      </c>
      <c r="G302" s="227">
        <v>6.0327634085175587E-2</v>
      </c>
      <c r="H302" s="227">
        <v>7.0180980991590244E-2</v>
      </c>
    </row>
    <row r="303" spans="1:8">
      <c r="A303" s="404"/>
      <c r="B303" s="72">
        <v>89</v>
      </c>
      <c r="C303" s="227">
        <v>3.8867720107808167E-2</v>
      </c>
      <c r="D303" s="227">
        <v>4.3375671888707598E-2</v>
      </c>
      <c r="E303" s="227">
        <v>4.6945270361664369E-2</v>
      </c>
      <c r="F303" s="227">
        <v>4.8026217526231499E-2</v>
      </c>
      <c r="G303" s="227">
        <v>5.2886187539958864E-2</v>
      </c>
      <c r="H303" s="227">
        <v>6.1808274238956296E-2</v>
      </c>
    </row>
    <row r="304" spans="1:8">
      <c r="A304" s="404"/>
      <c r="B304" s="72">
        <v>90</v>
      </c>
      <c r="C304" s="227">
        <v>3.2837774745288394E-2</v>
      </c>
      <c r="D304" s="227">
        <v>3.5852422573570762E-2</v>
      </c>
      <c r="E304" s="227">
        <v>3.8667134900943402E-2</v>
      </c>
      <c r="F304" s="227">
        <v>4.0209633735305256E-2</v>
      </c>
      <c r="G304" s="227">
        <v>4.485634754698082E-2</v>
      </c>
      <c r="H304" s="227">
        <v>5.3435567486322354E-2</v>
      </c>
    </row>
    <row r="305" spans="1:8">
      <c r="A305" s="404"/>
      <c r="B305" s="72">
        <v>91</v>
      </c>
      <c r="C305" s="227">
        <v>2.8442453125620368E-2</v>
      </c>
      <c r="D305" s="227">
        <v>2.998500803592816E-2</v>
      </c>
      <c r="E305" s="227">
        <v>3.1607426304570974E-2</v>
      </c>
      <c r="F305" s="227">
        <v>3.2604308965755398E-2</v>
      </c>
      <c r="G305" s="227">
        <v>3.7138009967523471E-2</v>
      </c>
      <c r="H305" s="227">
        <v>4.526707309350874E-2</v>
      </c>
    </row>
    <row r="306" spans="1:8">
      <c r="A306" s="404"/>
      <c r="B306" s="72">
        <v>92</v>
      </c>
      <c r="C306" s="227">
        <v>2.4592006086902925E-2</v>
      </c>
      <c r="D306" s="227">
        <v>2.5665439051160598E-2</v>
      </c>
      <c r="E306" s="227">
        <v>2.6088669330756997E-2</v>
      </c>
      <c r="F306" s="227">
        <v>2.6301748161359918E-2</v>
      </c>
      <c r="G306" s="227">
        <v>3.0008065835827446E-2</v>
      </c>
      <c r="H306" s="227">
        <v>3.7472968027032427E-2</v>
      </c>
    </row>
    <row r="307" spans="1:8">
      <c r="A307" s="404"/>
      <c r="B307" s="72">
        <v>93</v>
      </c>
      <c r="C307" s="227">
        <v>2.0414634299615132E-2</v>
      </c>
      <c r="D307" s="227">
        <v>2.1849819781282583E-2</v>
      </c>
      <c r="E307" s="227">
        <v>2.2039191811010373E-2</v>
      </c>
      <c r="F307" s="227">
        <v>2.1478000506599131E-2</v>
      </c>
      <c r="G307" s="227">
        <v>2.4158742737494299E-2</v>
      </c>
      <c r="H307" s="227">
        <v>3.0053252286893397E-2</v>
      </c>
    </row>
    <row r="308" spans="1:8">
      <c r="A308" s="404"/>
      <c r="B308" s="72">
        <v>94</v>
      </c>
      <c r="C308" s="227">
        <v>1.6600512232961058E-2</v>
      </c>
      <c r="D308" s="227">
        <v>1.7890214878578985E-2</v>
      </c>
      <c r="E308" s="227">
        <v>1.8527255554946932E-2</v>
      </c>
      <c r="F308" s="227">
        <v>1.7957016816992716E-2</v>
      </c>
      <c r="G308" s="227">
        <v>1.9728486189644342E-2</v>
      </c>
      <c r="H308" s="227">
        <v>2.3790739919069631E-2</v>
      </c>
    </row>
    <row r="309" spans="1:8">
      <c r="A309" s="404"/>
      <c r="B309" s="72">
        <v>95</v>
      </c>
      <c r="C309" s="227">
        <v>1.2786390166306987E-2</v>
      </c>
      <c r="D309" s="227">
        <v>1.4182584833320161E-2</v>
      </c>
      <c r="E309" s="227">
        <v>1.4836138877655764E-2</v>
      </c>
      <c r="F309" s="227">
        <v>1.4893761007035135E-2</v>
      </c>
      <c r="G309" s="227">
        <v>1.644040515803695E-2</v>
      </c>
      <c r="H309" s="227">
        <v>1.8923678676684857E-2</v>
      </c>
    </row>
    <row r="310" spans="1:8">
      <c r="A310" s="404"/>
      <c r="B310" s="72">
        <v>96</v>
      </c>
      <c r="C310" s="227">
        <v>9.5171426806034964E-3</v>
      </c>
      <c r="D310" s="227">
        <v>1.0942908094744491E-2</v>
      </c>
      <c r="E310" s="227">
        <v>1.1718399548293321E-2</v>
      </c>
      <c r="F310" s="227">
        <v>1.1830505197077554E-2</v>
      </c>
      <c r="G310" s="227">
        <v>1.3429215160670183E-2</v>
      </c>
      <c r="H310" s="227">
        <v>1.5281891593222125E-2</v>
      </c>
    </row>
    <row r="311" spans="1:8">
      <c r="A311" s="404"/>
      <c r="B311" s="72">
        <v>97</v>
      </c>
      <c r="C311" s="227">
        <v>6.901744692040703E-3</v>
      </c>
      <c r="D311" s="227">
        <v>8.0631954382327821E-3</v>
      </c>
      <c r="E311" s="227">
        <v>8.9231849771407856E-3</v>
      </c>
      <c r="F311" s="227">
        <v>9.1897674298727413E-3</v>
      </c>
      <c r="G311" s="227">
        <v>1.0556470680423726E-2</v>
      </c>
      <c r="H311" s="227">
        <v>1.2218706195917022E-2</v>
      </c>
    </row>
    <row r="312" spans="1:8">
      <c r="A312" s="404"/>
      <c r="B312" s="72">
        <v>98</v>
      </c>
      <c r="C312" s="227">
        <v>4.9401962006186077E-3</v>
      </c>
      <c r="D312" s="227">
        <v>5.7954217212298122E-3</v>
      </c>
      <c r="E312" s="227">
        <v>6.4863312484437037E-3</v>
      </c>
      <c r="F312" s="227">
        <v>6.9363378685246375E-3</v>
      </c>
      <c r="G312" s="227">
        <v>8.1336741308182803E-3</v>
      </c>
      <c r="H312" s="227">
        <v>9.4278039450390403E-3</v>
      </c>
    </row>
    <row r="313" spans="1:8">
      <c r="A313" s="404"/>
      <c r="B313" s="72">
        <v>99</v>
      </c>
      <c r="C313" s="227">
        <v>1000</v>
      </c>
      <c r="D313" s="227">
        <v>1000</v>
      </c>
      <c r="E313" s="227">
        <v>1000</v>
      </c>
      <c r="F313" s="227">
        <v>1000</v>
      </c>
      <c r="G313" s="227">
        <v>1000</v>
      </c>
      <c r="H313" s="227">
        <v>1000</v>
      </c>
    </row>
    <row r="314" spans="1:8">
      <c r="A314" s="405"/>
      <c r="B314" s="72">
        <v>100</v>
      </c>
      <c r="C314" s="227">
        <v>1000</v>
      </c>
      <c r="D314" s="227">
        <v>1000</v>
      </c>
      <c r="E314" s="227">
        <v>1000</v>
      </c>
      <c r="F314" s="227">
        <v>1000</v>
      </c>
      <c r="G314" s="227">
        <v>1000</v>
      </c>
      <c r="H314" s="227">
        <v>1000</v>
      </c>
    </row>
    <row r="317" spans="1:8" ht="14.4" thickBot="1">
      <c r="A317" s="160" t="s">
        <v>335</v>
      </c>
    </row>
    <row r="318" spans="1:8">
      <c r="C318" s="4">
        <v>2015</v>
      </c>
      <c r="D318" s="4">
        <v>2016</v>
      </c>
      <c r="E318" s="4">
        <v>2017</v>
      </c>
      <c r="F318" s="4">
        <v>2018</v>
      </c>
      <c r="G318" s="4">
        <v>2019</v>
      </c>
      <c r="H318" s="4">
        <v>2020</v>
      </c>
    </row>
    <row r="319" spans="1:8" ht="55.8" customHeight="1">
      <c r="A319" s="406" t="s">
        <v>336</v>
      </c>
      <c r="B319" s="72" t="s">
        <v>337</v>
      </c>
      <c r="C319" s="228">
        <v>0.51028403525954946</v>
      </c>
      <c r="D319" s="228">
        <v>0.51028403525954946</v>
      </c>
      <c r="E319" s="228">
        <v>0.51004409603135714</v>
      </c>
      <c r="F319" s="228">
        <v>0.51004409603135714</v>
      </c>
      <c r="G319" s="228">
        <v>0.51004409603135714</v>
      </c>
      <c r="H319" s="228">
        <v>0.51004409603135714</v>
      </c>
    </row>
    <row r="320" spans="1:8" ht="82.8" customHeight="1">
      <c r="A320" s="407"/>
      <c r="B320" s="72" t="s">
        <v>338</v>
      </c>
      <c r="C320" s="228">
        <v>0.48971596474045054</v>
      </c>
      <c r="D320" s="228">
        <v>0.48971596474045054</v>
      </c>
      <c r="E320" s="228">
        <v>0.48995590396864286</v>
      </c>
      <c r="F320" s="228">
        <v>0.48995590396864286</v>
      </c>
      <c r="G320" s="228">
        <v>0.48995590396864286</v>
      </c>
      <c r="H320" s="228">
        <v>0.48995590396864286</v>
      </c>
    </row>
    <row r="323" spans="1:105" ht="14.4" thickBot="1">
      <c r="A323" s="160" t="s">
        <v>339</v>
      </c>
    </row>
    <row r="324" spans="1:105">
      <c r="B324" s="4" t="s">
        <v>20</v>
      </c>
      <c r="C324" s="4" t="s">
        <v>21</v>
      </c>
      <c r="D324" s="4" t="s">
        <v>22</v>
      </c>
      <c r="E324" s="4">
        <v>2010</v>
      </c>
      <c r="F324" s="4">
        <v>2011</v>
      </c>
      <c r="G324" s="4">
        <v>2012</v>
      </c>
      <c r="H324" s="4">
        <v>2013</v>
      </c>
      <c r="I324" s="4">
        <v>2014</v>
      </c>
      <c r="J324" s="4">
        <v>2015</v>
      </c>
      <c r="K324" s="4">
        <v>2016</v>
      </c>
      <c r="L324" s="4">
        <v>2017</v>
      </c>
      <c r="M324" s="4">
        <v>2018</v>
      </c>
      <c r="N324" s="4">
        <v>2019</v>
      </c>
      <c r="O324" s="4">
        <v>2020</v>
      </c>
      <c r="P324" s="4">
        <v>2021</v>
      </c>
      <c r="Q324" s="4">
        <v>2022</v>
      </c>
      <c r="R324" s="4">
        <v>2023</v>
      </c>
      <c r="S324" s="4">
        <v>2023</v>
      </c>
    </row>
    <row r="325" spans="1:105" s="43" customFormat="1" ht="55.2">
      <c r="A325" s="229" t="s">
        <v>340</v>
      </c>
      <c r="B325" s="230" t="s">
        <v>341</v>
      </c>
      <c r="C325" s="231" t="s">
        <v>342</v>
      </c>
      <c r="D325" s="71" t="s">
        <v>343</v>
      </c>
      <c r="E325" s="71">
        <v>1922151</v>
      </c>
      <c r="F325" s="71">
        <v>1949777</v>
      </c>
      <c r="G325" s="71">
        <v>1977999</v>
      </c>
      <c r="H325" s="71">
        <v>2006824</v>
      </c>
      <c r="I325" s="71">
        <v>2065052</v>
      </c>
      <c r="J325" s="71">
        <v>2065052</v>
      </c>
      <c r="K325" s="71">
        <v>2095361</v>
      </c>
      <c r="L325" s="71">
        <v>2126184</v>
      </c>
      <c r="M325" s="71">
        <v>2157554</v>
      </c>
      <c r="N325" s="71">
        <v>2189569</v>
      </c>
      <c r="O325" s="71">
        <v>2184706</v>
      </c>
      <c r="P325" s="71">
        <v>2212889</v>
      </c>
      <c r="Q325" s="71">
        <v>2241435</v>
      </c>
      <c r="R325" s="71">
        <v>2270350</v>
      </c>
      <c r="S325" s="71">
        <v>26502540</v>
      </c>
    </row>
    <row r="329" spans="1:105" ht="14.4" thickBot="1">
      <c r="A329" s="160" t="s">
        <v>344</v>
      </c>
    </row>
    <row r="330" spans="1:105" ht="14.4" customHeight="1">
      <c r="D330" s="4">
        <v>0</v>
      </c>
      <c r="E330" s="4">
        <v>1</v>
      </c>
      <c r="F330" s="4">
        <v>2</v>
      </c>
      <c r="G330" s="4">
        <v>3</v>
      </c>
      <c r="H330" s="4">
        <v>4</v>
      </c>
      <c r="I330" s="4">
        <v>5</v>
      </c>
      <c r="J330" s="4">
        <v>6</v>
      </c>
      <c r="K330" s="4">
        <v>7</v>
      </c>
      <c r="L330" s="4">
        <v>8</v>
      </c>
      <c r="M330" s="4">
        <v>9</v>
      </c>
      <c r="N330" s="4">
        <v>10</v>
      </c>
      <c r="O330" s="4">
        <v>11</v>
      </c>
      <c r="P330" s="4">
        <v>12</v>
      </c>
      <c r="Q330" s="4">
        <v>13</v>
      </c>
      <c r="R330" s="4">
        <v>14</v>
      </c>
      <c r="S330" s="4">
        <v>15</v>
      </c>
      <c r="T330" s="4">
        <v>16</v>
      </c>
      <c r="U330" s="4">
        <v>17</v>
      </c>
      <c r="V330" s="4">
        <v>18</v>
      </c>
      <c r="W330" s="4">
        <v>19</v>
      </c>
      <c r="X330" s="4">
        <v>20</v>
      </c>
      <c r="Y330" s="4">
        <v>21</v>
      </c>
      <c r="Z330" s="4">
        <v>22</v>
      </c>
      <c r="AA330" s="4">
        <v>23</v>
      </c>
      <c r="AB330" s="4">
        <v>24</v>
      </c>
      <c r="AC330" s="4">
        <v>25</v>
      </c>
      <c r="AD330" s="4">
        <v>26</v>
      </c>
      <c r="AE330" s="4">
        <v>27</v>
      </c>
      <c r="AF330" s="4">
        <v>28</v>
      </c>
      <c r="AG330" s="4">
        <v>29</v>
      </c>
      <c r="AH330" s="4">
        <v>30</v>
      </c>
      <c r="AI330" s="4">
        <v>31</v>
      </c>
      <c r="AJ330" s="4">
        <v>32</v>
      </c>
      <c r="AK330" s="4">
        <v>33</v>
      </c>
      <c r="AL330" s="4">
        <v>34</v>
      </c>
      <c r="AM330" s="4">
        <v>35</v>
      </c>
      <c r="AN330" s="4">
        <v>36</v>
      </c>
      <c r="AO330" s="4">
        <v>37</v>
      </c>
      <c r="AP330" s="4">
        <v>38</v>
      </c>
      <c r="AQ330" s="4">
        <v>39</v>
      </c>
      <c r="AR330" s="4">
        <v>40</v>
      </c>
      <c r="AS330" s="4">
        <v>41</v>
      </c>
      <c r="AT330" s="4">
        <v>42</v>
      </c>
      <c r="AU330" s="4">
        <v>43</v>
      </c>
      <c r="AV330" s="4">
        <v>44</v>
      </c>
      <c r="AW330" s="4">
        <v>45</v>
      </c>
      <c r="AX330" s="4">
        <v>46</v>
      </c>
      <c r="AY330" s="4">
        <v>47</v>
      </c>
      <c r="AZ330" s="4">
        <v>48</v>
      </c>
      <c r="BA330" s="4">
        <v>49</v>
      </c>
      <c r="BB330" s="4">
        <v>50</v>
      </c>
      <c r="BC330" s="4">
        <v>51</v>
      </c>
      <c r="BD330" s="4">
        <v>52</v>
      </c>
      <c r="BE330" s="4">
        <v>53</v>
      </c>
      <c r="BF330" s="4">
        <v>54</v>
      </c>
      <c r="BG330" s="4">
        <v>55</v>
      </c>
      <c r="BH330" s="4">
        <v>56</v>
      </c>
      <c r="BI330" s="4">
        <v>57</v>
      </c>
      <c r="BJ330" s="4">
        <v>58</v>
      </c>
      <c r="BK330" s="4">
        <v>59</v>
      </c>
      <c r="BL330" s="4">
        <v>60</v>
      </c>
      <c r="BM330" s="4">
        <v>61</v>
      </c>
      <c r="BN330" s="4">
        <v>62</v>
      </c>
      <c r="BO330" s="4">
        <v>63</v>
      </c>
      <c r="BP330" s="4">
        <v>64</v>
      </c>
      <c r="BQ330" s="4">
        <v>65</v>
      </c>
      <c r="BR330" s="4">
        <v>66</v>
      </c>
      <c r="BS330" s="4">
        <v>67</v>
      </c>
      <c r="BT330" s="4">
        <v>68</v>
      </c>
      <c r="BU330" s="4">
        <v>69</v>
      </c>
      <c r="BV330" s="4">
        <v>70</v>
      </c>
      <c r="BW330" s="4">
        <v>71</v>
      </c>
      <c r="BX330" s="4">
        <v>72</v>
      </c>
      <c r="BY330" s="4">
        <v>73</v>
      </c>
      <c r="BZ330" s="4">
        <v>74</v>
      </c>
      <c r="CA330" s="4">
        <v>75</v>
      </c>
      <c r="CB330" s="4">
        <v>76</v>
      </c>
      <c r="CC330" s="4">
        <v>77</v>
      </c>
      <c r="CD330" s="4">
        <v>78</v>
      </c>
      <c r="CE330" s="4">
        <v>79</v>
      </c>
      <c r="CF330" s="4">
        <v>80</v>
      </c>
      <c r="CG330" s="4">
        <v>81</v>
      </c>
      <c r="CH330" s="4">
        <v>82</v>
      </c>
      <c r="CI330" s="4">
        <v>83</v>
      </c>
      <c r="CJ330" s="4">
        <v>84</v>
      </c>
      <c r="CK330" s="4">
        <v>85</v>
      </c>
      <c r="CL330" s="4">
        <v>86</v>
      </c>
      <c r="CM330" s="4">
        <v>87</v>
      </c>
      <c r="CN330" s="4">
        <v>88</v>
      </c>
      <c r="CO330" s="4">
        <v>89</v>
      </c>
      <c r="CP330" s="4">
        <v>90</v>
      </c>
      <c r="CQ330" s="4">
        <v>91</v>
      </c>
      <c r="CR330" s="4">
        <v>92</v>
      </c>
      <c r="CS330" s="4">
        <v>93</v>
      </c>
      <c r="CT330" s="4">
        <v>94</v>
      </c>
      <c r="CU330" s="4">
        <v>95</v>
      </c>
      <c r="CV330" s="4">
        <v>96</v>
      </c>
      <c r="CW330" s="4">
        <v>97</v>
      </c>
      <c r="CX330" s="4">
        <v>98</v>
      </c>
      <c r="CY330" s="4">
        <v>99</v>
      </c>
      <c r="CZ330" s="4">
        <v>100</v>
      </c>
      <c r="DA330" s="190"/>
    </row>
    <row r="331" spans="1:105" s="43" customFormat="1" ht="49.2" customHeight="1">
      <c r="A331" s="408" t="s">
        <v>345</v>
      </c>
      <c r="B331" s="72" t="s">
        <v>337</v>
      </c>
      <c r="C331" s="232">
        <v>2015</v>
      </c>
      <c r="D331" s="10">
        <v>21817.473249773499</v>
      </c>
      <c r="E331" s="10">
        <v>21570.916556248783</v>
      </c>
      <c r="F331" s="10">
        <v>21092.838667822529</v>
      </c>
      <c r="G331" s="10">
        <v>20733.697762452059</v>
      </c>
      <c r="H331" s="10">
        <v>20469.19312505022</v>
      </c>
      <c r="I331" s="10">
        <v>20494.786237718788</v>
      </c>
      <c r="J331" s="10">
        <v>20942.611101070248</v>
      </c>
      <c r="K331" s="10">
        <v>20725.106048953083</v>
      </c>
      <c r="L331" s="10">
        <v>19992.425836988215</v>
      </c>
      <c r="M331" s="10">
        <v>19551.172178240849</v>
      </c>
      <c r="N331" s="10">
        <v>18868.804458036961</v>
      </c>
      <c r="O331" s="10">
        <v>18098.444485599877</v>
      </c>
      <c r="P331" s="10">
        <v>17482.280286573503</v>
      </c>
      <c r="Q331" s="10">
        <v>17384.877195613677</v>
      </c>
      <c r="R331" s="10">
        <v>17629.813841465933</v>
      </c>
      <c r="S331" s="10">
        <v>18083.645623153541</v>
      </c>
      <c r="T331" s="10">
        <v>18518.528307908022</v>
      </c>
      <c r="U331" s="10">
        <v>18851.657436604673</v>
      </c>
      <c r="V331" s="10">
        <v>19474.174406841099</v>
      </c>
      <c r="W331" s="10">
        <v>20126.980807717995</v>
      </c>
      <c r="X331" s="10">
        <v>20160.018858566826</v>
      </c>
      <c r="Y331" s="10">
        <v>20338.333319236317</v>
      </c>
      <c r="Z331" s="10">
        <v>20761.038342272965</v>
      </c>
      <c r="AA331" s="10">
        <v>20954.533923828367</v>
      </c>
      <c r="AB331" s="10">
        <v>21065.843940875526</v>
      </c>
      <c r="AC331" s="10">
        <v>21188.585305544206</v>
      </c>
      <c r="AD331" s="10">
        <v>21448.903302893574</v>
      </c>
      <c r="AE331" s="10">
        <v>21557.100644075636</v>
      </c>
      <c r="AF331" s="10">
        <v>21565.273693569368</v>
      </c>
      <c r="AG331" s="10">
        <v>21428.570794464846</v>
      </c>
      <c r="AH331" s="10">
        <v>21041.707050833902</v>
      </c>
      <c r="AI331" s="10">
        <v>20347.28908839203</v>
      </c>
      <c r="AJ331" s="10">
        <v>19356.202171275669</v>
      </c>
      <c r="AK331" s="10">
        <v>18136.215259986278</v>
      </c>
      <c r="AL331" s="10">
        <v>16889.452055143931</v>
      </c>
      <c r="AM331" s="10">
        <v>15774.750039782715</v>
      </c>
      <c r="AN331" s="10">
        <v>14909.498960417288</v>
      </c>
      <c r="AO331" s="10">
        <v>14020.019977096052</v>
      </c>
      <c r="AP331" s="10">
        <v>13154.659681033605</v>
      </c>
      <c r="AQ331" s="10">
        <v>12521.421271706291</v>
      </c>
      <c r="AR331" s="10">
        <v>11936.966320381658</v>
      </c>
      <c r="AS331" s="10">
        <v>11434.878961393637</v>
      </c>
      <c r="AT331" s="10">
        <v>11015.450439267619</v>
      </c>
      <c r="AU331" s="10">
        <v>10626.748214570154</v>
      </c>
      <c r="AV331" s="10">
        <v>10192.848480088862</v>
      </c>
      <c r="AW331" s="10">
        <v>9723.9994025608758</v>
      </c>
      <c r="AX331" s="10">
        <v>9264.9070166334259</v>
      </c>
      <c r="AY331" s="10">
        <v>8818.0104952066449</v>
      </c>
      <c r="AZ331" s="10">
        <v>8396.8163031454551</v>
      </c>
      <c r="BA331" s="10">
        <v>8075.8830389494715</v>
      </c>
      <c r="BB331" s="10">
        <v>7876.3441334922445</v>
      </c>
      <c r="BC331" s="10">
        <v>7755.8417111124927</v>
      </c>
      <c r="BD331" s="10">
        <v>7679.8450927687672</v>
      </c>
      <c r="BE331" s="10">
        <v>7578.7650396759027</v>
      </c>
      <c r="BF331" s="10">
        <v>7407.9865311008516</v>
      </c>
      <c r="BG331" s="10">
        <v>7132.3053850372053</v>
      </c>
      <c r="BH331" s="10">
        <v>6781.4649486403259</v>
      </c>
      <c r="BI331" s="10">
        <v>6378.3825255017719</v>
      </c>
      <c r="BJ331" s="10">
        <v>5900.4320565553753</v>
      </c>
      <c r="BK331" s="10">
        <v>5445.2350661550045</v>
      </c>
      <c r="BL331" s="10">
        <v>5100.6017787054816</v>
      </c>
      <c r="BM331" s="10">
        <v>4858.6321864556257</v>
      </c>
      <c r="BN331" s="10">
        <v>4649.6278339232522</v>
      </c>
      <c r="BO331" s="10">
        <v>4409.2236809973638</v>
      </c>
      <c r="BP331" s="10">
        <v>4151.5632899421689</v>
      </c>
      <c r="BQ331" s="10">
        <v>3860.6464146441035</v>
      </c>
      <c r="BR331" s="10">
        <v>3546.3207606178867</v>
      </c>
      <c r="BS331" s="10">
        <v>3227.2987886197702</v>
      </c>
      <c r="BT331" s="10">
        <v>2876.7131911826068</v>
      </c>
      <c r="BU331" s="10">
        <v>2563.7891514348248</v>
      </c>
      <c r="BV331" s="10">
        <v>2359.8087669654137</v>
      </c>
      <c r="BW331" s="10">
        <v>2240.307497641687</v>
      </c>
      <c r="BX331" s="10">
        <v>2139.4276751600278</v>
      </c>
      <c r="BY331" s="10">
        <v>1982.9929594603918</v>
      </c>
      <c r="BZ331" s="10">
        <v>1822.6264426680032</v>
      </c>
      <c r="CA331" s="10">
        <v>1672.5627009612547</v>
      </c>
      <c r="CB331" s="10">
        <v>1519.6775279147992</v>
      </c>
      <c r="CC331" s="10">
        <v>1367.848116272879</v>
      </c>
      <c r="CD331" s="10">
        <v>1211.9048757098374</v>
      </c>
      <c r="CE331" s="10">
        <v>1086.4148908327966</v>
      </c>
      <c r="CF331" s="10">
        <v>1014.877954284092</v>
      </c>
      <c r="CG331" s="10">
        <v>980.03782793441746</v>
      </c>
      <c r="CH331" s="10">
        <v>932.6013758616632</v>
      </c>
      <c r="CI331" s="10">
        <v>841.13239210663994</v>
      </c>
      <c r="CJ331" s="10">
        <v>734.11823180897215</v>
      </c>
      <c r="CK331" s="10">
        <v>628.28725239569746</v>
      </c>
      <c r="CL331" s="10">
        <v>525.65996276170335</v>
      </c>
      <c r="CM331" s="10">
        <v>430.29558347960057</v>
      </c>
      <c r="CN331" s="10">
        <v>342.08489785236827</v>
      </c>
      <c r="CO331" s="10">
        <v>269.85625555586438</v>
      </c>
      <c r="CP331" s="10">
        <v>214.97486530285047</v>
      </c>
      <c r="CQ331" s="10">
        <v>174.80132358198759</v>
      </c>
      <c r="CR331" s="10">
        <v>141.54483933911646</v>
      </c>
      <c r="CS331" s="10">
        <v>110.25425564262197</v>
      </c>
      <c r="CT331" s="10">
        <v>84.297087317315885</v>
      </c>
      <c r="CU331" s="10">
        <v>62.435545130294422</v>
      </c>
      <c r="CV331" s="10">
        <v>44.196356727800257</v>
      </c>
      <c r="CW331" s="10">
        <v>30.471458468837572</v>
      </c>
      <c r="CX331" s="10">
        <v>20.623752954117663</v>
      </c>
      <c r="CY331" s="10">
        <v>13.779506607473143</v>
      </c>
      <c r="CZ331" s="10">
        <v>22.407625672126077</v>
      </c>
      <c r="DA331" s="233"/>
    </row>
    <row r="332" spans="1:105" s="43" customFormat="1" ht="59.4" customHeight="1">
      <c r="A332" s="409"/>
      <c r="B332" s="72" t="s">
        <v>338</v>
      </c>
      <c r="C332" s="232">
        <v>2015</v>
      </c>
      <c r="D332" s="10">
        <v>21027.763719180897</v>
      </c>
      <c r="E332" s="10">
        <v>20819.487477961997</v>
      </c>
      <c r="F332" s="10">
        <v>20406.466335394536</v>
      </c>
      <c r="G332" s="10">
        <v>20096.618565946177</v>
      </c>
      <c r="H332" s="10">
        <v>19851.208647740161</v>
      </c>
      <c r="I332" s="10">
        <v>19886.813290968985</v>
      </c>
      <c r="J332" s="10">
        <v>20341.100142227515</v>
      </c>
      <c r="K332" s="10">
        <v>20139.304091698523</v>
      </c>
      <c r="L332" s="10">
        <v>19437.732435601785</v>
      </c>
      <c r="M332" s="10">
        <v>18995.65965162676</v>
      </c>
      <c r="N332" s="10">
        <v>18315.749307105838</v>
      </c>
      <c r="O332" s="10">
        <v>17562.44534218686</v>
      </c>
      <c r="P332" s="10">
        <v>16949.830685813668</v>
      </c>
      <c r="Q332" s="10">
        <v>16837.210068402255</v>
      </c>
      <c r="R332" s="10">
        <v>17063.798309154998</v>
      </c>
      <c r="S332" s="10">
        <v>17515.919029255947</v>
      </c>
      <c r="T332" s="10">
        <v>17972.317403323548</v>
      </c>
      <c r="U332" s="10">
        <v>18321.93825327036</v>
      </c>
      <c r="V332" s="10">
        <v>18935.790698876459</v>
      </c>
      <c r="W332" s="10">
        <v>19573.506992781629</v>
      </c>
      <c r="X332" s="10">
        <v>19610.658872551579</v>
      </c>
      <c r="Y332" s="10">
        <v>19783.676323415559</v>
      </c>
      <c r="Z332" s="10">
        <v>20177.457124524499</v>
      </c>
      <c r="AA332" s="10">
        <v>20331.307045061305</v>
      </c>
      <c r="AB332" s="10">
        <v>20394.761946030463</v>
      </c>
      <c r="AC332" s="10">
        <v>20475.436679563249</v>
      </c>
      <c r="AD332" s="10">
        <v>20712.145667573266</v>
      </c>
      <c r="AE332" s="10">
        <v>20804.324559858924</v>
      </c>
      <c r="AF332" s="10">
        <v>20787.650810780397</v>
      </c>
      <c r="AG332" s="10">
        <v>20624.499268213975</v>
      </c>
      <c r="AH332" s="10">
        <v>20216.847946583377</v>
      </c>
      <c r="AI332" s="10">
        <v>19501.806231187391</v>
      </c>
      <c r="AJ332" s="10">
        <v>18488.475513444431</v>
      </c>
      <c r="AK332" s="10">
        <v>17240.874980591587</v>
      </c>
      <c r="AL332" s="10">
        <v>16212.763603185127</v>
      </c>
      <c r="AM332" s="10">
        <v>15531.142197077546</v>
      </c>
      <c r="AN332" s="10">
        <v>15327.216420956645</v>
      </c>
      <c r="AO332" s="10">
        <v>14826.585284595571</v>
      </c>
      <c r="AP332" s="10">
        <v>14092.412444438089</v>
      </c>
      <c r="AQ332" s="10">
        <v>13750.928238419336</v>
      </c>
      <c r="AR332" s="10">
        <v>13352.451119338497</v>
      </c>
      <c r="AS332" s="10">
        <v>13025.765775766078</v>
      </c>
      <c r="AT332" s="10">
        <v>12751.140391106968</v>
      </c>
      <c r="AU332" s="10">
        <v>12503.382313915003</v>
      </c>
      <c r="AV332" s="10">
        <v>12227.045867669231</v>
      </c>
      <c r="AW332" s="10">
        <v>11912.720213643013</v>
      </c>
      <c r="AX332" s="10">
        <v>11603.363919331248</v>
      </c>
      <c r="AY332" s="10">
        <v>11308.315012329225</v>
      </c>
      <c r="AZ332" s="10">
        <v>10998.813095754766</v>
      </c>
      <c r="BA332" s="10">
        <v>10715.941850470575</v>
      </c>
      <c r="BB332" s="10">
        <v>10493.103382982217</v>
      </c>
      <c r="BC332" s="10">
        <v>10327.075800727578</v>
      </c>
      <c r="BD332" s="10">
        <v>10186.841561752712</v>
      </c>
      <c r="BE332" s="10">
        <v>9973.9782192589319</v>
      </c>
      <c r="BF332" s="10">
        <v>9671.5207796423219</v>
      </c>
      <c r="BG332" s="10">
        <v>9273.3531078697088</v>
      </c>
      <c r="BH332" s="10">
        <v>8828.6955287318578</v>
      </c>
      <c r="BI332" s="10">
        <v>8355.5141888887083</v>
      </c>
      <c r="BJ332" s="10">
        <v>7799.0369147842675</v>
      </c>
      <c r="BK332" s="10">
        <v>7270.8103596425726</v>
      </c>
      <c r="BL332" s="10">
        <v>6867.1818530189139</v>
      </c>
      <c r="BM332" s="10">
        <v>6583.4914825070664</v>
      </c>
      <c r="BN332" s="10">
        <v>6333.8585186829096</v>
      </c>
      <c r="BO332" s="10">
        <v>6028.6160532922659</v>
      </c>
      <c r="BP332" s="10">
        <v>5711.8876319315887</v>
      </c>
      <c r="BQ332" s="10">
        <v>5367.2361416992289</v>
      </c>
      <c r="BR332" s="10">
        <v>4989.5101950523658</v>
      </c>
      <c r="BS332" s="10">
        <v>4603.3745627348917</v>
      </c>
      <c r="BT332" s="10">
        <v>4190.0257700763714</v>
      </c>
      <c r="BU332" s="10">
        <v>3843.2809598177769</v>
      </c>
      <c r="BV332" s="10">
        <v>3636.3517245288012</v>
      </c>
      <c r="BW332" s="10">
        <v>3553.5654681869414</v>
      </c>
      <c r="BX332" s="10">
        <v>3500.3587339549144</v>
      </c>
      <c r="BY332" s="10">
        <v>3374.1042321987275</v>
      </c>
      <c r="BZ332" s="10">
        <v>3240.8962673988749</v>
      </c>
      <c r="CA332" s="10">
        <v>3111.9477537828384</v>
      </c>
      <c r="CB332" s="10">
        <v>2954.8395351182403</v>
      </c>
      <c r="CC332" s="10">
        <v>2773.7946570232234</v>
      </c>
      <c r="CD332" s="10">
        <v>2553.0495095611009</v>
      </c>
      <c r="CE332" s="10">
        <v>2335.0347795245011</v>
      </c>
      <c r="CF332" s="10">
        <v>2168.3154915220621</v>
      </c>
      <c r="CG332" s="10">
        <v>2055.31261567108</v>
      </c>
      <c r="CH332" s="10">
        <v>1929.4585751373029</v>
      </c>
      <c r="CI332" s="10">
        <v>1733.1779678078669</v>
      </c>
      <c r="CJ332" s="10">
        <v>1511.6136951180874</v>
      </c>
      <c r="CK332" s="10">
        <v>1291.8697007119902</v>
      </c>
      <c r="CL332" s="10">
        <v>1079.370413874947</v>
      </c>
      <c r="CM332" s="10">
        <v>885.01930152621424</v>
      </c>
      <c r="CN332" s="10">
        <v>707.66958834707191</v>
      </c>
      <c r="CO332" s="10">
        <v>552.87312310275001</v>
      </c>
      <c r="CP332" s="10">
        <v>432.71655359689771</v>
      </c>
      <c r="CQ332" s="10">
        <v>343.10425369123021</v>
      </c>
      <c r="CR332" s="10">
        <v>278.92124140860102</v>
      </c>
      <c r="CS332" s="10">
        <v>222.83846748835697</v>
      </c>
      <c r="CT332" s="10">
        <v>170.74210300937659</v>
      </c>
      <c r="CU332" s="10">
        <v>128.31141621674792</v>
      </c>
      <c r="CV332" s="10">
        <v>92.178892285659174</v>
      </c>
      <c r="CW332" s="10">
        <v>63.746145494545509</v>
      </c>
      <c r="CX332" s="10">
        <v>42.740134100854611</v>
      </c>
      <c r="CY332" s="10">
        <v>28.105096700050904</v>
      </c>
      <c r="CZ332" s="10">
        <v>42.758336883691435</v>
      </c>
      <c r="DA332" s="233"/>
    </row>
    <row r="335" spans="1:105" ht="14.4" thickBot="1">
      <c r="A335" s="160" t="s">
        <v>346</v>
      </c>
    </row>
    <row r="336" spans="1:105">
      <c r="B336" s="4" t="s">
        <v>20</v>
      </c>
      <c r="C336" s="4" t="s">
        <v>21</v>
      </c>
      <c r="D336" s="4" t="s">
        <v>22</v>
      </c>
      <c r="E336" s="4">
        <v>2020</v>
      </c>
      <c r="F336" s="4">
        <v>2021</v>
      </c>
      <c r="G336" s="4">
        <v>2022</v>
      </c>
      <c r="H336" s="4">
        <v>2023</v>
      </c>
      <c r="I336" s="4">
        <v>2024</v>
      </c>
      <c r="J336" s="4">
        <v>2025</v>
      </c>
      <c r="K336" s="4">
        <v>2026</v>
      </c>
      <c r="L336" s="4">
        <v>2027</v>
      </c>
      <c r="M336" s="4">
        <v>2028</v>
      </c>
      <c r="N336" s="4">
        <v>2029</v>
      </c>
      <c r="O336" s="4">
        <v>2030</v>
      </c>
      <c r="P336" s="4">
        <v>2031</v>
      </c>
      <c r="Q336" s="4">
        <v>2032</v>
      </c>
      <c r="R336" s="4">
        <v>2033</v>
      </c>
      <c r="S336" s="4">
        <v>2034</v>
      </c>
      <c r="T336" s="4">
        <v>2035</v>
      </c>
      <c r="U336" s="4">
        <v>2036</v>
      </c>
      <c r="V336" s="4">
        <v>2037</v>
      </c>
      <c r="W336" s="4">
        <v>2038</v>
      </c>
      <c r="X336" s="4">
        <v>2039</v>
      </c>
      <c r="Y336" s="4">
        <v>2040</v>
      </c>
      <c r="Z336" s="4">
        <v>2041</v>
      </c>
      <c r="AA336" s="4">
        <v>2042</v>
      </c>
      <c r="AB336" s="4">
        <v>2043</v>
      </c>
      <c r="AC336" s="4">
        <v>2044</v>
      </c>
      <c r="AD336" s="4">
        <v>2045</v>
      </c>
      <c r="AE336" s="4">
        <v>2046</v>
      </c>
      <c r="AF336" s="4">
        <v>2047</v>
      </c>
      <c r="AG336" s="4">
        <v>2048</v>
      </c>
      <c r="AH336" s="4">
        <v>2049</v>
      </c>
      <c r="AI336" s="4">
        <v>2050</v>
      </c>
      <c r="AJ336" s="4">
        <v>2055</v>
      </c>
      <c r="AK336" s="4">
        <v>2060</v>
      </c>
      <c r="AL336" s="4">
        <v>2065</v>
      </c>
      <c r="AM336" s="4">
        <v>2070</v>
      </c>
      <c r="AN336" s="4">
        <v>2075</v>
      </c>
      <c r="AO336" s="4">
        <v>2080</v>
      </c>
      <c r="AP336" s="4">
        <v>2085</v>
      </c>
      <c r="AQ336" s="4">
        <v>2090</v>
      </c>
      <c r="AR336" s="4">
        <v>2095</v>
      </c>
      <c r="AS336" s="4">
        <v>2100</v>
      </c>
    </row>
    <row r="337" spans="1:45">
      <c r="A337" s="229" t="s">
        <v>347</v>
      </c>
      <c r="B337" s="394" t="s">
        <v>348</v>
      </c>
      <c r="C337" s="397" t="s">
        <v>349</v>
      </c>
      <c r="D337" s="400" t="s">
        <v>343</v>
      </c>
      <c r="E337" s="94">
        <v>2184706.1269999999</v>
      </c>
      <c r="F337" s="94">
        <v>2195717.4115999998</v>
      </c>
      <c r="G337" s="94">
        <v>2206728.6961999997</v>
      </c>
      <c r="H337" s="94">
        <v>2217739.9808</v>
      </c>
      <c r="I337" s="94">
        <v>2228751.2653999999</v>
      </c>
      <c r="J337" s="94">
        <v>2239762.5499999998</v>
      </c>
      <c r="K337" s="94">
        <v>2249314.5499999998</v>
      </c>
      <c r="L337" s="94">
        <v>2258866.5499999998</v>
      </c>
      <c r="M337" s="94">
        <v>2264597.75</v>
      </c>
      <c r="N337" s="94">
        <v>2277970.5499999998</v>
      </c>
      <c r="O337" s="94">
        <v>2287522.5499999998</v>
      </c>
      <c r="P337" s="94">
        <v>2295615.27</v>
      </c>
      <c r="Q337" s="94">
        <v>2303707.9899999998</v>
      </c>
      <c r="R337" s="94">
        <v>2311800.71</v>
      </c>
      <c r="S337" s="94">
        <v>2319893.4299999997</v>
      </c>
      <c r="T337" s="94">
        <v>2327986.15</v>
      </c>
      <c r="U337" s="94">
        <v>2334619.59</v>
      </c>
      <c r="V337" s="94">
        <v>2341253.0299999998</v>
      </c>
      <c r="W337" s="94">
        <v>2347886.4700000002</v>
      </c>
      <c r="X337" s="94">
        <v>2354519.91</v>
      </c>
      <c r="Y337" s="94">
        <v>2361153.35</v>
      </c>
      <c r="Z337" s="94">
        <v>2366327.5100000002</v>
      </c>
      <c r="AA337" s="94">
        <v>2371501.67</v>
      </c>
      <c r="AB337" s="94">
        <v>2376675.83</v>
      </c>
      <c r="AC337" s="94">
        <v>2381849.9899999998</v>
      </c>
      <c r="AD337" s="94">
        <v>2387024.15</v>
      </c>
      <c r="AE337" s="94">
        <v>2390739.0299999998</v>
      </c>
      <c r="AF337" s="94">
        <v>2394453.9099999997</v>
      </c>
      <c r="AG337" s="94">
        <v>2398168.79</v>
      </c>
      <c r="AH337" s="94">
        <v>2401883.67</v>
      </c>
      <c r="AI337" s="94">
        <v>2405598.5499999998</v>
      </c>
      <c r="AJ337" s="94">
        <v>2416876.5499999998</v>
      </c>
      <c r="AK337" s="94">
        <v>2420858.15</v>
      </c>
      <c r="AL337" s="94">
        <v>2417543.4</v>
      </c>
      <c r="AM337" s="94">
        <v>2406932.2000000002</v>
      </c>
      <c r="AN337" s="94">
        <v>2389024.6</v>
      </c>
      <c r="AO337" s="94">
        <v>2363820.6</v>
      </c>
      <c r="AP337" s="94">
        <v>2331320.2000000002</v>
      </c>
      <c r="AQ337" s="94">
        <v>2291523</v>
      </c>
      <c r="AR337" s="94">
        <v>2244430</v>
      </c>
      <c r="AS337" s="94">
        <v>2190041</v>
      </c>
    </row>
    <row r="338" spans="1:45">
      <c r="A338" s="229" t="s">
        <v>350</v>
      </c>
      <c r="B338" s="410"/>
      <c r="C338" s="398"/>
      <c r="D338" s="401"/>
      <c r="E338" s="94">
        <v>2184706.1269999999</v>
      </c>
      <c r="F338" s="94">
        <v>2197392.9269999997</v>
      </c>
      <c r="G338" s="94">
        <v>2210079.727</v>
      </c>
      <c r="H338" s="94">
        <v>2222766.5269999998</v>
      </c>
      <c r="I338" s="94">
        <v>2235453.327</v>
      </c>
      <c r="J338" s="94">
        <v>2248140.1269999999</v>
      </c>
      <c r="K338" s="94">
        <v>2258472.9269999997</v>
      </c>
      <c r="L338" s="94">
        <v>2268805.727</v>
      </c>
      <c r="M338" s="94">
        <v>2275005.4069999997</v>
      </c>
      <c r="N338" s="94">
        <v>2289471.327</v>
      </c>
      <c r="O338" s="94">
        <v>2299804.1269999999</v>
      </c>
      <c r="P338" s="94">
        <v>2307782.9269999997</v>
      </c>
      <c r="Q338" s="94">
        <v>2315761.727</v>
      </c>
      <c r="R338" s="94">
        <v>2323740.5269999998</v>
      </c>
      <c r="S338" s="94">
        <v>2331719.327</v>
      </c>
      <c r="T338" s="94">
        <v>2339698.1269999999</v>
      </c>
      <c r="U338" s="94">
        <v>2345322.9269999997</v>
      </c>
      <c r="V338" s="94">
        <v>2350947.727</v>
      </c>
      <c r="W338" s="94">
        <v>2356572.5269999998</v>
      </c>
      <c r="X338" s="94">
        <v>2362197.327</v>
      </c>
      <c r="Y338" s="94">
        <v>2367822.1269999999</v>
      </c>
      <c r="Z338" s="94">
        <v>2371092.9269999997</v>
      </c>
      <c r="AA338" s="94">
        <v>2374363.727</v>
      </c>
      <c r="AB338" s="94">
        <v>2377634.5269999998</v>
      </c>
      <c r="AC338" s="94">
        <v>2380905.327</v>
      </c>
      <c r="AD338" s="94">
        <v>2384176.1269999999</v>
      </c>
      <c r="AE338" s="94">
        <v>2385092.9269999997</v>
      </c>
      <c r="AF338" s="94">
        <v>2386009.727</v>
      </c>
      <c r="AG338" s="94">
        <v>2386926.5269999998</v>
      </c>
      <c r="AH338" s="94">
        <v>2387843.327</v>
      </c>
      <c r="AI338" s="94">
        <v>2388760.1269999999</v>
      </c>
      <c r="AJ338" s="94">
        <v>2381574.1269999999</v>
      </c>
      <c r="AK338" s="94">
        <v>2362618.1269999999</v>
      </c>
      <c r="AL338" s="94">
        <v>2331892.1</v>
      </c>
      <c r="AM338" s="94">
        <v>2289396.1</v>
      </c>
      <c r="AN338" s="94">
        <v>2235130.1</v>
      </c>
      <c r="AO338" s="94">
        <v>2169094.1</v>
      </c>
      <c r="AP338" s="94">
        <v>2091288.1</v>
      </c>
      <c r="AQ338" s="94">
        <v>2001712</v>
      </c>
      <c r="AR338" s="94">
        <v>1900366</v>
      </c>
      <c r="AS338" s="94">
        <v>1787250</v>
      </c>
    </row>
    <row r="339" spans="1:45">
      <c r="A339" s="229" t="s">
        <v>351</v>
      </c>
      <c r="B339" s="410"/>
      <c r="C339" s="398"/>
      <c r="D339" s="401"/>
      <c r="E339" s="94">
        <v>2184706.1269999999</v>
      </c>
      <c r="F339" s="94">
        <v>2190671.5269999998</v>
      </c>
      <c r="G339" s="94">
        <v>2196636.9269999997</v>
      </c>
      <c r="H339" s="94">
        <v>2202602.327</v>
      </c>
      <c r="I339" s="94">
        <v>2208567.727</v>
      </c>
      <c r="J339" s="94">
        <v>2214533.1269999999</v>
      </c>
      <c r="K339" s="94">
        <v>2220498.5269999998</v>
      </c>
      <c r="L339" s="94">
        <v>2226463.9269999997</v>
      </c>
      <c r="M339" s="94">
        <v>2230043.1669999999</v>
      </c>
      <c r="N339" s="94">
        <v>2238394.727</v>
      </c>
      <c r="O339" s="94">
        <v>2244360.1269999999</v>
      </c>
      <c r="P339" s="94">
        <v>2250325.5269999998</v>
      </c>
      <c r="Q339" s="94">
        <v>2256290.9269999997</v>
      </c>
      <c r="R339" s="94">
        <v>2262256.327</v>
      </c>
      <c r="S339" s="94">
        <v>2268221.727</v>
      </c>
      <c r="T339" s="94">
        <v>2274187.1269999999</v>
      </c>
      <c r="U339" s="94">
        <v>2280152.5269999998</v>
      </c>
      <c r="V339" s="94">
        <v>2286117.9269999997</v>
      </c>
      <c r="W339" s="94">
        <v>2292083.327</v>
      </c>
      <c r="X339" s="94">
        <v>2298048.727</v>
      </c>
      <c r="Y339" s="94">
        <v>2304014.1269999999</v>
      </c>
      <c r="Z339" s="94">
        <v>2309979.5269999998</v>
      </c>
      <c r="AA339" s="94">
        <v>2315944.9269999997</v>
      </c>
      <c r="AB339" s="94">
        <v>2321910.327</v>
      </c>
      <c r="AC339" s="94">
        <v>2327875.727</v>
      </c>
      <c r="AD339" s="94">
        <v>2333841.1269999999</v>
      </c>
      <c r="AE339" s="94">
        <v>2339806.5269999998</v>
      </c>
      <c r="AF339" s="94">
        <v>2345771.9269999997</v>
      </c>
      <c r="AG339" s="94">
        <v>2351737.327</v>
      </c>
      <c r="AH339" s="94">
        <v>2357702.727</v>
      </c>
      <c r="AI339" s="94">
        <v>2363668.1269999999</v>
      </c>
      <c r="AJ339" s="94">
        <v>2393495.1269999999</v>
      </c>
      <c r="AK339" s="94">
        <v>2423322.1269999999</v>
      </c>
      <c r="AL339" s="94">
        <v>2453149.1</v>
      </c>
      <c r="AM339" s="94">
        <v>2482976.1</v>
      </c>
      <c r="AN339" s="94">
        <v>2512803.1</v>
      </c>
      <c r="AO339" s="94">
        <v>2542630.1</v>
      </c>
      <c r="AP339" s="94">
        <v>2572457.1</v>
      </c>
      <c r="AQ339" s="94">
        <v>2602284</v>
      </c>
      <c r="AR339" s="94">
        <v>2632111</v>
      </c>
      <c r="AS339" s="94">
        <v>2661938</v>
      </c>
    </row>
    <row r="340" spans="1:45">
      <c r="A340" s="229" t="s">
        <v>352</v>
      </c>
      <c r="B340" s="410"/>
      <c r="C340" s="398"/>
      <c r="D340" s="401"/>
      <c r="E340" s="94">
        <v>2184706.1269999999</v>
      </c>
      <c r="F340" s="94">
        <v>2187900.0669999998</v>
      </c>
      <c r="G340" s="94">
        <v>2191094.0069999998</v>
      </c>
      <c r="H340" s="94">
        <v>2194287.9470000002</v>
      </c>
      <c r="I340" s="94">
        <v>2197481.8870000001</v>
      </c>
      <c r="J340" s="94">
        <v>2200675.827</v>
      </c>
      <c r="K340" s="94">
        <v>2202120.9270000001</v>
      </c>
      <c r="L340" s="94">
        <v>2203566.0270000002</v>
      </c>
      <c r="M340" s="94">
        <v>2204433.0870000003</v>
      </c>
      <c r="N340" s="94">
        <v>2206456.227</v>
      </c>
      <c r="O340" s="94">
        <v>2207901.327</v>
      </c>
      <c r="P340" s="94">
        <v>2207597.5869999998</v>
      </c>
      <c r="Q340" s="94">
        <v>2207293.8470000001</v>
      </c>
      <c r="R340" s="94">
        <v>2206990.1069999998</v>
      </c>
      <c r="S340" s="94">
        <v>2206686.3670000001</v>
      </c>
      <c r="T340" s="94">
        <v>2206382.6269999999</v>
      </c>
      <c r="U340" s="94">
        <v>2204330.0469999998</v>
      </c>
      <c r="V340" s="94">
        <v>2202277.4669999997</v>
      </c>
      <c r="W340" s="94">
        <v>2200224.8870000001</v>
      </c>
      <c r="X340" s="94">
        <v>2198172.307</v>
      </c>
      <c r="Y340" s="94">
        <v>2196119.727</v>
      </c>
      <c r="Z340" s="94">
        <v>2192318.307</v>
      </c>
      <c r="AA340" s="94">
        <v>2188516.8870000001</v>
      </c>
      <c r="AB340" s="94">
        <v>2184715.4669999997</v>
      </c>
      <c r="AC340" s="94">
        <v>2180914.0469999998</v>
      </c>
      <c r="AD340" s="94">
        <v>2177112.6269999999</v>
      </c>
      <c r="AE340" s="94">
        <v>2171562.3670000001</v>
      </c>
      <c r="AF340" s="94">
        <v>2166012.1069999998</v>
      </c>
      <c r="AG340" s="94">
        <v>2160461.8470000001</v>
      </c>
      <c r="AH340" s="94">
        <v>2154911.5869999998</v>
      </c>
      <c r="AI340" s="94">
        <v>2149361.327</v>
      </c>
      <c r="AJ340" s="94">
        <v>2112865.827</v>
      </c>
      <c r="AK340" s="94">
        <v>2067626.1270000001</v>
      </c>
      <c r="AL340" s="94">
        <v>2013642.2</v>
      </c>
      <c r="AM340" s="94">
        <v>1950914.1</v>
      </c>
      <c r="AN340" s="94">
        <v>1879441.8</v>
      </c>
      <c r="AO340" s="94">
        <v>1799225.3</v>
      </c>
      <c r="AP340" s="94">
        <v>1710264.6</v>
      </c>
      <c r="AQ340" s="94">
        <v>1612560</v>
      </c>
      <c r="AR340" s="94">
        <v>1506111</v>
      </c>
      <c r="AS340" s="94">
        <v>1390917</v>
      </c>
    </row>
    <row r="341" spans="1:45">
      <c r="A341" s="229" t="s">
        <v>353</v>
      </c>
      <c r="B341" s="395"/>
      <c r="C341" s="399"/>
      <c r="D341" s="402"/>
      <c r="E341" s="94">
        <v>2184706.1269999999</v>
      </c>
      <c r="F341" s="94">
        <v>2201961.9069999997</v>
      </c>
      <c r="G341" s="94">
        <v>2219217.6869999999</v>
      </c>
      <c r="H341" s="94">
        <v>2236473.4669999997</v>
      </c>
      <c r="I341" s="94">
        <v>2253729.247</v>
      </c>
      <c r="J341" s="94">
        <v>2270985.0269999998</v>
      </c>
      <c r="K341" s="94">
        <v>2285558.9269999997</v>
      </c>
      <c r="L341" s="94">
        <v>2300132.8269999996</v>
      </c>
      <c r="M341" s="94">
        <v>2308877.1669999999</v>
      </c>
      <c r="N341" s="94">
        <v>2329280.6269999999</v>
      </c>
      <c r="O341" s="94">
        <v>2343854.5269999998</v>
      </c>
      <c r="P341" s="94">
        <v>2355746.5469999998</v>
      </c>
      <c r="Q341" s="94">
        <v>2367638.5669999998</v>
      </c>
      <c r="R341" s="94">
        <v>2379530.5869999998</v>
      </c>
      <c r="S341" s="94">
        <v>2391422.6069999998</v>
      </c>
      <c r="T341" s="94">
        <v>2403314.6269999999</v>
      </c>
      <c r="U341" s="94">
        <v>2412524.767</v>
      </c>
      <c r="V341" s="94">
        <v>2421734.9070000001</v>
      </c>
      <c r="W341" s="94">
        <v>2430945.0469999998</v>
      </c>
      <c r="X341" s="94">
        <v>2440155.1869999999</v>
      </c>
      <c r="Y341" s="94">
        <v>2449365.327</v>
      </c>
      <c r="Z341" s="94">
        <v>2455893.5869999998</v>
      </c>
      <c r="AA341" s="94">
        <v>2462421.8470000001</v>
      </c>
      <c r="AB341" s="94">
        <v>2468950.1069999998</v>
      </c>
      <c r="AC341" s="94">
        <v>2475478.3670000001</v>
      </c>
      <c r="AD341" s="94">
        <v>2482006.6269999999</v>
      </c>
      <c r="AE341" s="94">
        <v>2485853.0069999998</v>
      </c>
      <c r="AF341" s="94">
        <v>2489699.3869999996</v>
      </c>
      <c r="AG341" s="94">
        <v>2493545.767</v>
      </c>
      <c r="AH341" s="94">
        <v>2497392.1469999999</v>
      </c>
      <c r="AI341" s="94">
        <v>2501238.5269999998</v>
      </c>
      <c r="AJ341" s="94">
        <v>2507061.0269999998</v>
      </c>
      <c r="AK341" s="94">
        <v>2499474.1269999999</v>
      </c>
      <c r="AL341" s="94">
        <v>2478477.7999999998</v>
      </c>
      <c r="AM341" s="94">
        <v>2444072.1</v>
      </c>
      <c r="AN341" s="94">
        <v>2396257</v>
      </c>
      <c r="AO341" s="94">
        <v>2335032.5</v>
      </c>
      <c r="AP341" s="94">
        <v>2260398.6</v>
      </c>
      <c r="AQ341" s="94">
        <v>2172355</v>
      </c>
      <c r="AR341" s="94">
        <v>2070903</v>
      </c>
      <c r="AS341" s="94">
        <v>1956041</v>
      </c>
    </row>
    <row r="343" spans="1:45" ht="14.4" thickBot="1"/>
    <row r="344" spans="1:45">
      <c r="A344" s="16" t="s">
        <v>20</v>
      </c>
      <c r="B344" s="4" t="s">
        <v>47</v>
      </c>
    </row>
    <row r="345" spans="1:45" ht="27.6">
      <c r="A345" s="146" t="s">
        <v>354</v>
      </c>
      <c r="B345" s="15" t="s">
        <v>355</v>
      </c>
    </row>
    <row r="346" spans="1:45" ht="27.6">
      <c r="A346" s="146" t="s">
        <v>356</v>
      </c>
      <c r="B346" s="15" t="s">
        <v>357</v>
      </c>
    </row>
    <row r="347" spans="1:45" ht="27.6">
      <c r="A347" s="146" t="s">
        <v>358</v>
      </c>
      <c r="B347" s="15" t="s">
        <v>359</v>
      </c>
    </row>
    <row r="348" spans="1:45" ht="96.6">
      <c r="A348" s="146" t="s">
        <v>348</v>
      </c>
      <c r="B348" s="15" t="s">
        <v>360</v>
      </c>
    </row>
  </sheetData>
  <mergeCells count="8">
    <mergeCell ref="C337:C341"/>
    <mergeCell ref="D337:D341"/>
    <mergeCell ref="A4:A104"/>
    <mergeCell ref="A109:A209"/>
    <mergeCell ref="A214:A314"/>
    <mergeCell ref="A319:A320"/>
    <mergeCell ref="A331:A332"/>
    <mergeCell ref="B337:B341"/>
  </mergeCells>
  <hyperlinks>
    <hyperlink ref="B348" r:id="rId1" xr:uid="{510E26A2-502F-4AB7-8636-F794CE8BF90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8FCD5-71B2-427D-8A25-D5FC2BD6E825}">
  <dimension ref="B4:N24"/>
  <sheetViews>
    <sheetView workbookViewId="0">
      <selection activeCell="D19" sqref="D19"/>
    </sheetView>
  </sheetViews>
  <sheetFormatPr baseColWidth="10" defaultRowHeight="13.8"/>
  <cols>
    <col min="1" max="1" width="11.5546875" style="3"/>
    <col min="2" max="2" width="15.6640625" style="3" bestFit="1" customWidth="1"/>
    <col min="3" max="3" width="15.44140625" style="3" bestFit="1" customWidth="1"/>
    <col min="4" max="4" width="22.5546875" style="3" customWidth="1"/>
    <col min="5" max="5" width="20.5546875" style="3" customWidth="1"/>
    <col min="6" max="6" width="16.33203125" style="3" customWidth="1"/>
    <col min="7" max="7" width="20.5546875" style="3" bestFit="1" customWidth="1"/>
    <col min="8" max="8" width="18.77734375" style="3" customWidth="1"/>
    <col min="9" max="9" width="17.21875" style="3" bestFit="1" customWidth="1"/>
    <col min="10" max="10" width="14.44140625" style="3" bestFit="1" customWidth="1"/>
    <col min="11" max="11" width="15.44140625" style="3" bestFit="1" customWidth="1"/>
    <col min="12" max="12" width="13.5546875" style="3" bestFit="1" customWidth="1"/>
    <col min="13" max="13" width="20" style="3" bestFit="1" customWidth="1"/>
    <col min="14" max="14" width="16.21875" style="3" bestFit="1" customWidth="1"/>
    <col min="15" max="16384" width="11.5546875" style="3"/>
  </cols>
  <sheetData>
    <row r="4" spans="2:14">
      <c r="B4" s="173" t="s">
        <v>390</v>
      </c>
      <c r="C4" s="174" t="s">
        <v>391</v>
      </c>
      <c r="D4" s="174"/>
      <c r="E4" s="173"/>
      <c r="F4" s="173"/>
      <c r="G4" s="175"/>
      <c r="H4" s="175"/>
      <c r="I4" s="175"/>
      <c r="J4" s="175"/>
      <c r="K4" s="175"/>
      <c r="L4" s="175"/>
      <c r="M4" s="175"/>
      <c r="N4" s="175"/>
    </row>
    <row r="5" spans="2:14">
      <c r="B5" s="175"/>
      <c r="C5" s="175"/>
      <c r="D5" s="175"/>
      <c r="E5" s="175"/>
      <c r="F5" s="175"/>
      <c r="G5" s="175"/>
      <c r="H5" s="175"/>
      <c r="I5" s="175"/>
      <c r="J5" s="175"/>
      <c r="K5" s="175"/>
      <c r="L5" s="176"/>
      <c r="M5" s="175"/>
      <c r="N5" s="175"/>
    </row>
    <row r="6" spans="2:14">
      <c r="B6" s="177"/>
      <c r="C6" s="178" t="s">
        <v>2</v>
      </c>
      <c r="D6" s="178" t="s">
        <v>3</v>
      </c>
      <c r="E6" s="178" t="s">
        <v>4</v>
      </c>
      <c r="F6" s="178" t="s">
        <v>5</v>
      </c>
    </row>
    <row r="7" spans="2:14">
      <c r="B7" s="179" t="s">
        <v>392</v>
      </c>
      <c r="C7" s="180">
        <v>2279.6</v>
      </c>
      <c r="D7" s="181">
        <f>C7/$C$9</f>
        <v>0.54742807742183375</v>
      </c>
      <c r="E7" s="182">
        <v>278569.93010604178</v>
      </c>
      <c r="F7" s="181">
        <v>0.58134144847259361</v>
      </c>
    </row>
    <row r="8" spans="2:14">
      <c r="B8" s="183" t="s">
        <v>393</v>
      </c>
      <c r="C8" s="184">
        <v>1884.6</v>
      </c>
      <c r="D8" s="185">
        <f>C8/$C$9</f>
        <v>0.45257192257816625</v>
      </c>
      <c r="E8" s="186">
        <v>200614.77423243533</v>
      </c>
      <c r="F8" s="185">
        <v>0.41865855152740644</v>
      </c>
    </row>
    <row r="9" spans="2:14">
      <c r="B9" s="187" t="s">
        <v>7</v>
      </c>
      <c r="C9" s="188">
        <f>SUM(C7:C8)</f>
        <v>4164.2</v>
      </c>
      <c r="D9" s="189">
        <f>SUM(D7:D8)</f>
        <v>1</v>
      </c>
      <c r="E9" s="188">
        <f>SUM(E7:E8)</f>
        <v>479184.70433847711</v>
      </c>
      <c r="F9" s="189">
        <f>SUM(F7:F8)</f>
        <v>1</v>
      </c>
    </row>
    <row r="10" spans="2:14">
      <c r="C10" s="190"/>
    </row>
    <row r="11" spans="2:14">
      <c r="C11" s="191" t="s">
        <v>8</v>
      </c>
      <c r="D11" s="191" t="s">
        <v>9</v>
      </c>
      <c r="E11" s="191" t="s">
        <v>4</v>
      </c>
      <c r="F11" s="178" t="s">
        <v>10</v>
      </c>
      <c r="G11" s="191" t="s">
        <v>11</v>
      </c>
      <c r="H11" s="178" t="s">
        <v>12</v>
      </c>
      <c r="I11" s="191" t="s">
        <v>13</v>
      </c>
      <c r="J11" s="191" t="s">
        <v>14</v>
      </c>
    </row>
    <row r="12" spans="2:14">
      <c r="B12" s="411" t="s">
        <v>392</v>
      </c>
      <c r="C12" s="192" t="s">
        <v>16</v>
      </c>
      <c r="D12" s="193">
        <v>85.155057968775097</v>
      </c>
      <c r="E12" s="194">
        <v>171486.10441856482</v>
      </c>
      <c r="F12" s="195">
        <v>0.61559445541478974</v>
      </c>
      <c r="G12" s="193">
        <v>1999.186745223454</v>
      </c>
      <c r="H12" s="195">
        <v>1.1658010146080531E-2</v>
      </c>
      <c r="I12" s="193">
        <v>5.7622638233006001</v>
      </c>
      <c r="J12" s="414">
        <v>0.26722036110946795</v>
      </c>
    </row>
    <row r="13" spans="2:14">
      <c r="B13" s="412"/>
      <c r="C13" s="196" t="s">
        <v>17</v>
      </c>
      <c r="D13" s="197">
        <v>21.168478710075064</v>
      </c>
      <c r="E13" s="198">
        <v>47555.684655429293</v>
      </c>
      <c r="F13" s="195">
        <v>0.17071363243450763</v>
      </c>
      <c r="G13" s="197">
        <v>16639.956872784933</v>
      </c>
      <c r="H13" s="195">
        <v>0.34990468528319668</v>
      </c>
      <c r="I13" s="197">
        <v>2.7399509996175762</v>
      </c>
      <c r="J13" s="415"/>
    </row>
    <row r="14" spans="2:14">
      <c r="B14" s="413"/>
      <c r="C14" s="199" t="s">
        <v>18</v>
      </c>
      <c r="D14" s="200">
        <v>10.196722136561842</v>
      </c>
      <c r="E14" s="201">
        <v>59528.141032046929</v>
      </c>
      <c r="F14" s="202">
        <v>0.21369191215070005</v>
      </c>
      <c r="G14" s="200">
        <v>55800.413699167344</v>
      </c>
      <c r="H14" s="202">
        <v>0.93737873771544844</v>
      </c>
      <c r="I14" s="200">
        <v>5.924798011779786</v>
      </c>
      <c r="J14" s="416"/>
    </row>
    <row r="15" spans="2:14">
      <c r="B15" s="417" t="s">
        <v>393</v>
      </c>
      <c r="C15" s="203" t="s">
        <v>16</v>
      </c>
      <c r="D15" s="204">
        <v>99.686729121811467</v>
      </c>
      <c r="E15" s="205">
        <v>161889.95825547664</v>
      </c>
      <c r="F15" s="206">
        <v>0.80696927170432853</v>
      </c>
      <c r="G15" s="204">
        <v>3209.4044257609835</v>
      </c>
      <c r="H15" s="206">
        <v>1.9824604690404948E-2</v>
      </c>
      <c r="I15" s="204">
        <v>7.7614647299051311</v>
      </c>
      <c r="J15" s="420">
        <v>0.18722161277406268</v>
      </c>
    </row>
    <row r="16" spans="2:14">
      <c r="B16" s="418"/>
      <c r="C16" s="207" t="s">
        <v>17</v>
      </c>
      <c r="D16" s="204">
        <v>2.1783907910715778</v>
      </c>
      <c r="E16" s="205">
        <v>5535.4971127584622</v>
      </c>
      <c r="F16" s="206">
        <v>2.7592669253486541E-2</v>
      </c>
      <c r="G16" s="204">
        <v>2207.6326296607381</v>
      </c>
      <c r="H16" s="206">
        <v>0.39881379841613274</v>
      </c>
      <c r="I16" s="204">
        <v>1.1021413803100579</v>
      </c>
      <c r="J16" s="421"/>
    </row>
    <row r="17" spans="2:10">
      <c r="B17" s="419"/>
      <c r="C17" s="208" t="s">
        <v>18</v>
      </c>
      <c r="D17" s="204">
        <v>9.8887157862983432</v>
      </c>
      <c r="E17" s="205">
        <v>33189.318864200373</v>
      </c>
      <c r="F17" s="209">
        <v>0.16543805904218561</v>
      </c>
      <c r="G17" s="204">
        <v>32142.384522679291</v>
      </c>
      <c r="H17" s="206">
        <v>0.96845568461935638</v>
      </c>
      <c r="I17" s="204">
        <v>3.353571891784668</v>
      </c>
      <c r="J17" s="422"/>
    </row>
    <row r="18" spans="2:10">
      <c r="B18" s="423" t="s">
        <v>7</v>
      </c>
      <c r="C18" s="210" t="s">
        <v>16</v>
      </c>
      <c r="D18" s="211">
        <v>184.84178709058685</v>
      </c>
      <c r="E18" s="212">
        <v>333376.06267404062</v>
      </c>
      <c r="F18" s="213">
        <v>0.69571515880138979</v>
      </c>
      <c r="G18" s="211">
        <v>5208.5911709844368</v>
      </c>
      <c r="H18" s="214">
        <v>1.5623770732685002E-2</v>
      </c>
      <c r="I18" s="211">
        <v>13.52372855320573</v>
      </c>
      <c r="J18" s="426">
        <v>0.23372820100736166</v>
      </c>
    </row>
    <row r="19" spans="2:10">
      <c r="B19" s="424"/>
      <c r="C19" s="215" t="s">
        <v>17</v>
      </c>
      <c r="D19" s="216">
        <v>23.346869501146642</v>
      </c>
      <c r="E19" s="217">
        <v>53091.181768187751</v>
      </c>
      <c r="F19" s="213">
        <v>0.11079481729593406</v>
      </c>
      <c r="G19" s="216">
        <v>18847.589502445669</v>
      </c>
      <c r="H19" s="213">
        <v>0.35500414333852992</v>
      </c>
      <c r="I19" s="216">
        <v>3.8420923799276343</v>
      </c>
      <c r="J19" s="427"/>
    </row>
    <row r="20" spans="2:10">
      <c r="B20" s="425"/>
      <c r="C20" s="218" t="s">
        <v>18</v>
      </c>
      <c r="D20" s="219">
        <v>20.085437922860187</v>
      </c>
      <c r="E20" s="220">
        <v>92717.45989624731</v>
      </c>
      <c r="F20" s="221">
        <v>0.19349002390267317</v>
      </c>
      <c r="G20" s="219">
        <v>87942.798221846635</v>
      </c>
      <c r="H20" s="221">
        <v>0.9485031009289554</v>
      </c>
      <c r="I20" s="219">
        <v>9.2783699035644531</v>
      </c>
      <c r="J20" s="428"/>
    </row>
    <row r="21" spans="2:10">
      <c r="E21" s="190"/>
    </row>
    <row r="22" spans="2:10">
      <c r="B22" s="222" t="s">
        <v>7</v>
      </c>
      <c r="C22" s="222"/>
      <c r="D22" s="223">
        <v>228.274094514594</v>
      </c>
      <c r="E22" s="224">
        <v>479184.70433847565</v>
      </c>
      <c r="F22" s="225">
        <v>0.99999999999999711</v>
      </c>
      <c r="G22" s="224">
        <v>111998.97889527674</v>
      </c>
      <c r="H22" s="225"/>
      <c r="I22" s="223"/>
      <c r="J22" s="222"/>
    </row>
    <row r="23" spans="2:10">
      <c r="E23" s="190"/>
    </row>
    <row r="24" spans="2:10">
      <c r="E24" s="190"/>
    </row>
  </sheetData>
  <mergeCells count="6">
    <mergeCell ref="B12:B14"/>
    <mergeCell ref="J12:J14"/>
    <mergeCell ref="B15:B17"/>
    <mergeCell ref="J15:J17"/>
    <mergeCell ref="B18:B20"/>
    <mergeCell ref="J18:J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4492-0A54-4EB8-8117-469928D5D005}">
  <dimension ref="A2:Q48"/>
  <sheetViews>
    <sheetView topLeftCell="A11" zoomScale="74" workbookViewId="0">
      <selection activeCell="I28" sqref="I28"/>
    </sheetView>
  </sheetViews>
  <sheetFormatPr baseColWidth="10" defaultRowHeight="13.8"/>
  <cols>
    <col min="1" max="1" width="79.44140625" style="3" bestFit="1" customWidth="1"/>
    <col min="2" max="2" width="35.77734375" style="2" customWidth="1"/>
    <col min="3" max="3" width="19.21875" style="3" customWidth="1"/>
    <col min="4" max="4" width="11.5546875" style="3"/>
    <col min="5" max="5" width="14.44140625" style="3" bestFit="1" customWidth="1"/>
    <col min="6" max="6" width="14.109375" style="3" bestFit="1" customWidth="1"/>
    <col min="7" max="9" width="11.77734375" style="3" bestFit="1" customWidth="1"/>
    <col min="10" max="10" width="22.5546875" style="3" bestFit="1" customWidth="1"/>
    <col min="11" max="11" width="14.109375" style="3" bestFit="1" customWidth="1"/>
    <col min="12" max="13" width="11.77734375" style="3" bestFit="1" customWidth="1"/>
    <col min="14" max="16384" width="11.5546875" style="3"/>
  </cols>
  <sheetData>
    <row r="2" spans="1:5" ht="14.4" thickBot="1">
      <c r="A2" s="1" t="s">
        <v>19</v>
      </c>
    </row>
    <row r="3" spans="1:5">
      <c r="B3" s="4" t="s">
        <v>20</v>
      </c>
      <c r="C3" s="4" t="s">
        <v>21</v>
      </c>
      <c r="D3" s="4" t="s">
        <v>22</v>
      </c>
      <c r="E3" s="4" t="s">
        <v>23</v>
      </c>
    </row>
    <row r="4" spans="1:5">
      <c r="A4" s="5" t="s">
        <v>24</v>
      </c>
      <c r="B4" s="145" t="s">
        <v>415</v>
      </c>
      <c r="C4" s="345" t="s">
        <v>416</v>
      </c>
      <c r="D4" s="7" t="s">
        <v>25</v>
      </c>
      <c r="E4" s="34">
        <v>8750</v>
      </c>
    </row>
    <row r="5" spans="1:5">
      <c r="A5" s="5" t="s">
        <v>417</v>
      </c>
      <c r="B5" s="146" t="s">
        <v>418</v>
      </c>
      <c r="C5" s="345"/>
      <c r="D5" s="7" t="s">
        <v>25</v>
      </c>
      <c r="E5" s="7">
        <v>15000</v>
      </c>
    </row>
    <row r="8" spans="1:5" ht="14.4" thickBot="1">
      <c r="A8" s="1" t="s">
        <v>26</v>
      </c>
    </row>
    <row r="9" spans="1:5">
      <c r="B9" s="4" t="s">
        <v>20</v>
      </c>
      <c r="C9" s="4" t="s">
        <v>21</v>
      </c>
      <c r="D9" s="4" t="s">
        <v>22</v>
      </c>
      <c r="E9" s="4" t="s">
        <v>23</v>
      </c>
    </row>
    <row r="10" spans="1:5" ht="14.4" customHeight="1">
      <c r="A10" s="5" t="s">
        <v>419</v>
      </c>
      <c r="B10" s="342" t="s">
        <v>27</v>
      </c>
      <c r="C10" s="345" t="s">
        <v>420</v>
      </c>
      <c r="D10" s="7" t="s">
        <v>28</v>
      </c>
      <c r="E10" s="7">
        <v>21.9</v>
      </c>
    </row>
    <row r="11" spans="1:5">
      <c r="A11" s="5" t="s">
        <v>29</v>
      </c>
      <c r="B11" s="342"/>
      <c r="C11" s="345"/>
      <c r="D11" s="7" t="s">
        <v>28</v>
      </c>
      <c r="E11" s="9">
        <v>5.7670000000000006E-2</v>
      </c>
    </row>
    <row r="12" spans="1:5">
      <c r="A12" s="5" t="s">
        <v>421</v>
      </c>
      <c r="B12" s="342"/>
      <c r="C12" s="345"/>
      <c r="D12" s="7" t="s">
        <v>28</v>
      </c>
      <c r="E12" s="9">
        <v>31.03</v>
      </c>
    </row>
    <row r="13" spans="1:5">
      <c r="A13" s="5" t="s">
        <v>422</v>
      </c>
      <c r="B13" s="342"/>
      <c r="C13" s="345"/>
      <c r="D13" s="7" t="s">
        <v>28</v>
      </c>
      <c r="E13" s="9">
        <v>0.18</v>
      </c>
    </row>
    <row r="14" spans="1:5">
      <c r="A14" s="5" t="s">
        <v>423</v>
      </c>
      <c r="B14" s="342"/>
      <c r="C14" s="345"/>
      <c r="D14" s="7" t="s">
        <v>28</v>
      </c>
      <c r="E14" s="9">
        <v>2.19</v>
      </c>
    </row>
    <row r="15" spans="1:5">
      <c r="A15" s="5" t="s">
        <v>424</v>
      </c>
      <c r="B15" s="342"/>
      <c r="C15" s="345"/>
      <c r="D15" s="7" t="s">
        <v>28</v>
      </c>
      <c r="E15" s="9">
        <v>12.78</v>
      </c>
    </row>
    <row r="16" spans="1:5">
      <c r="A16" s="5" t="s">
        <v>425</v>
      </c>
      <c r="B16" s="342"/>
      <c r="C16" s="345"/>
      <c r="D16" s="7" t="s">
        <v>28</v>
      </c>
      <c r="E16" s="9">
        <v>4.38</v>
      </c>
    </row>
    <row r="17" spans="1:17">
      <c r="A17" s="5" t="s">
        <v>426</v>
      </c>
      <c r="B17" s="342"/>
      <c r="C17" s="345"/>
      <c r="D17" s="7" t="s">
        <v>28</v>
      </c>
      <c r="E17" s="9">
        <v>3.01125</v>
      </c>
    </row>
    <row r="20" spans="1:17" ht="14.4" thickBot="1">
      <c r="A20" s="1" t="s">
        <v>30</v>
      </c>
    </row>
    <row r="21" spans="1:17">
      <c r="B21" s="4" t="s">
        <v>20</v>
      </c>
      <c r="C21" s="4" t="s">
        <v>21</v>
      </c>
      <c r="D21" s="4" t="s">
        <v>22</v>
      </c>
      <c r="E21" s="4">
        <v>2010</v>
      </c>
      <c r="F21" s="4">
        <v>2011</v>
      </c>
      <c r="G21" s="4">
        <v>2012</v>
      </c>
      <c r="H21" s="4">
        <v>2013</v>
      </c>
      <c r="I21" s="4">
        <v>2014</v>
      </c>
      <c r="J21" s="4">
        <v>2015</v>
      </c>
      <c r="K21" s="4">
        <v>2016</v>
      </c>
      <c r="L21" s="4">
        <v>2017</v>
      </c>
      <c r="M21" s="4">
        <v>2018</v>
      </c>
      <c r="N21" s="4">
        <v>2019</v>
      </c>
      <c r="O21" s="4">
        <v>2020</v>
      </c>
      <c r="P21" s="4">
        <v>2021</v>
      </c>
      <c r="Q21" s="4">
        <v>2022</v>
      </c>
    </row>
    <row r="22" spans="1:17">
      <c r="A22" s="5" t="s">
        <v>31</v>
      </c>
      <c r="B22" s="352" t="s">
        <v>32</v>
      </c>
      <c r="C22" s="344" t="s">
        <v>427</v>
      </c>
      <c r="D22" s="7" t="s">
        <v>33</v>
      </c>
      <c r="E22" s="10">
        <v>10.885640930143282</v>
      </c>
      <c r="F22" s="10">
        <v>10.580562873386802</v>
      </c>
      <c r="G22" s="10">
        <v>10.280549159804208</v>
      </c>
      <c r="H22" s="10">
        <v>9.9817964648531774</v>
      </c>
      <c r="I22" s="10">
        <v>9.6889248550949354</v>
      </c>
      <c r="J22" s="10">
        <v>9.3957644371725415</v>
      </c>
      <c r="K22" s="10">
        <v>9.1041850461769673</v>
      </c>
      <c r="L22" s="10">
        <v>8.8259682290915027</v>
      </c>
      <c r="M22" s="10">
        <v>8.567423961422957</v>
      </c>
      <c r="N22" s="10">
        <v>8.3262052083473606</v>
      </c>
      <c r="O22" s="10">
        <v>8.0916293107377548</v>
      </c>
      <c r="P22" s="10">
        <v>7.8645337284258954</v>
      </c>
      <c r="Q22" s="10">
        <v>7.6470032580498666</v>
      </c>
    </row>
    <row r="23" spans="1:17">
      <c r="A23" s="5" t="s">
        <v>34</v>
      </c>
      <c r="B23" s="352"/>
      <c r="C23" s="344"/>
      <c r="D23" s="7" t="s">
        <v>33</v>
      </c>
      <c r="E23" s="10">
        <v>105.64420232661193</v>
      </c>
      <c r="F23" s="10">
        <v>102.68445691575015</v>
      </c>
      <c r="G23" s="10">
        <v>99.77274190375465</v>
      </c>
      <c r="H23" s="10">
        <v>96.871885785801993</v>
      </c>
      <c r="I23" s="10">
        <v>94.027393370930241</v>
      </c>
      <c r="J23" s="10">
        <v>91.178414646080256</v>
      </c>
      <c r="K23" s="10">
        <v>88.343708417141059</v>
      </c>
      <c r="L23" s="10">
        <v>85.639335470928486</v>
      </c>
      <c r="M23" s="10">
        <v>83.127188173223743</v>
      </c>
      <c r="N23" s="10">
        <v>80.784418617173117</v>
      </c>
      <c r="O23" s="10">
        <v>78.50604552634185</v>
      </c>
      <c r="P23" s="10">
        <v>76.300056326268731</v>
      </c>
      <c r="Q23" s="10">
        <v>74.187171451680939</v>
      </c>
    </row>
    <row r="26" spans="1:17" ht="14.4" thickBot="1">
      <c r="A26" s="1" t="s">
        <v>35</v>
      </c>
    </row>
    <row r="27" spans="1:17">
      <c r="B27" s="4" t="s">
        <v>20</v>
      </c>
      <c r="C27" s="4" t="s">
        <v>21</v>
      </c>
      <c r="D27" s="4" t="s">
        <v>22</v>
      </c>
      <c r="E27" s="4" t="s">
        <v>23</v>
      </c>
    </row>
    <row r="28" spans="1:17" ht="14.4" customHeight="1">
      <c r="A28" s="5" t="s">
        <v>428</v>
      </c>
      <c r="B28" s="145" t="s">
        <v>36</v>
      </c>
      <c r="C28" s="11" t="s">
        <v>37</v>
      </c>
      <c r="D28" s="7" t="s">
        <v>38</v>
      </c>
      <c r="E28" s="7">
        <v>1600641216</v>
      </c>
    </row>
    <row r="29" spans="1:17">
      <c r="A29" s="5" t="s">
        <v>39</v>
      </c>
      <c r="B29" s="145" t="s">
        <v>40</v>
      </c>
      <c r="C29" s="147" t="s">
        <v>41</v>
      </c>
      <c r="D29" s="7" t="s">
        <v>38</v>
      </c>
      <c r="E29" s="7">
        <v>0</v>
      </c>
      <c r="I29" s="13"/>
    </row>
    <row r="30" spans="1:17">
      <c r="A30" s="5" t="s">
        <v>429</v>
      </c>
      <c r="B30" s="145" t="s">
        <v>42</v>
      </c>
      <c r="C30" s="11" t="s">
        <v>430</v>
      </c>
      <c r="D30" s="7" t="s">
        <v>38</v>
      </c>
      <c r="E30" s="7">
        <v>23635335763.176277</v>
      </c>
    </row>
    <row r="31" spans="1:17">
      <c r="A31" s="5" t="s">
        <v>43</v>
      </c>
      <c r="B31" s="145" t="s">
        <v>44</v>
      </c>
      <c r="C31" s="11" t="s">
        <v>45</v>
      </c>
      <c r="D31" s="7" t="s">
        <v>38</v>
      </c>
      <c r="E31" s="7">
        <v>613087685.42408991</v>
      </c>
    </row>
    <row r="32" spans="1:17">
      <c r="A32" s="5" t="s">
        <v>46</v>
      </c>
      <c r="B32" s="14"/>
      <c r="C32" s="15"/>
      <c r="D32" s="7" t="s">
        <v>38</v>
      </c>
      <c r="E32" s="7">
        <v>25849064664.600368</v>
      </c>
    </row>
    <row r="34" spans="1:5" ht="14.4" thickBot="1">
      <c r="A34" s="1" t="s">
        <v>431</v>
      </c>
    </row>
    <row r="35" spans="1:5">
      <c r="B35" s="4" t="s">
        <v>20</v>
      </c>
      <c r="C35" s="4" t="s">
        <v>21</v>
      </c>
      <c r="D35" s="4" t="s">
        <v>22</v>
      </c>
      <c r="E35" s="4" t="s">
        <v>23</v>
      </c>
    </row>
    <row r="36" spans="1:5">
      <c r="A36" s="5" t="s">
        <v>432</v>
      </c>
      <c r="B36" s="353" t="s">
        <v>433</v>
      </c>
      <c r="C36" s="11" t="s">
        <v>434</v>
      </c>
      <c r="D36" s="7" t="s">
        <v>38</v>
      </c>
      <c r="E36" s="7">
        <v>480192365</v>
      </c>
    </row>
    <row r="37" spans="1:5">
      <c r="A37" s="5" t="s">
        <v>435</v>
      </c>
      <c r="B37" s="355"/>
      <c r="C37" s="11" t="s">
        <v>436</v>
      </c>
      <c r="D37" s="7" t="s">
        <v>38</v>
      </c>
      <c r="E37" s="7">
        <f>E28*0.4</f>
        <v>640256486.39999998</v>
      </c>
    </row>
    <row r="38" spans="1:5" ht="14.4" thickBot="1"/>
    <row r="39" spans="1:5">
      <c r="A39" s="16" t="s">
        <v>20</v>
      </c>
      <c r="B39" s="4" t="s">
        <v>47</v>
      </c>
    </row>
    <row r="40" spans="1:5" ht="41.4">
      <c r="A40" s="145" t="s">
        <v>415</v>
      </c>
      <c r="B40" s="147" t="s">
        <v>437</v>
      </c>
    </row>
    <row r="41" spans="1:5">
      <c r="A41" s="146" t="s">
        <v>418</v>
      </c>
      <c r="B41" s="147" t="s">
        <v>438</v>
      </c>
    </row>
    <row r="42" spans="1:5" ht="27.6">
      <c r="A42" s="146" t="s">
        <v>32</v>
      </c>
      <c r="B42" s="147" t="s">
        <v>48</v>
      </c>
    </row>
    <row r="43" spans="1:5" ht="41.4">
      <c r="A43" s="146" t="s">
        <v>27</v>
      </c>
      <c r="B43" s="147" t="s">
        <v>49</v>
      </c>
    </row>
    <row r="44" spans="1:5" ht="27.6">
      <c r="A44" s="145" t="s">
        <v>36</v>
      </c>
      <c r="B44" s="147" t="s">
        <v>50</v>
      </c>
    </row>
    <row r="45" spans="1:5">
      <c r="A45" s="145" t="s">
        <v>40</v>
      </c>
      <c r="B45" s="147" t="s">
        <v>51</v>
      </c>
    </row>
    <row r="46" spans="1:5" ht="27.6">
      <c r="A46" s="145" t="s">
        <v>42</v>
      </c>
      <c r="B46" s="147" t="s">
        <v>52</v>
      </c>
    </row>
    <row r="47" spans="1:5" ht="27.6">
      <c r="A47" s="145" t="s">
        <v>44</v>
      </c>
      <c r="B47" s="17" t="s">
        <v>53</v>
      </c>
    </row>
    <row r="48" spans="1:5" ht="41.4">
      <c r="A48" s="146" t="s">
        <v>439</v>
      </c>
      <c r="B48" s="147" t="s">
        <v>440</v>
      </c>
    </row>
  </sheetData>
  <mergeCells count="6">
    <mergeCell ref="B36:B37"/>
    <mergeCell ref="C4:C5"/>
    <mergeCell ref="B10:B17"/>
    <mergeCell ref="C10:C17"/>
    <mergeCell ref="B22:B23"/>
    <mergeCell ref="C22:C23"/>
  </mergeCells>
  <hyperlinks>
    <hyperlink ref="B41" r:id="rId1" xr:uid="{C83CE61E-C5DC-4199-91F6-D7E18C4BB9D7}"/>
    <hyperlink ref="B42" r:id="rId2" xr:uid="{69835934-B863-48FB-A3E8-2B6CBC5923FE}"/>
    <hyperlink ref="B48" r:id="rId3" xr:uid="{C5BF4C90-B533-460B-8D59-DB9BE1C8E8B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0544-B3CF-4269-BE67-E55EC1D9CFC5}">
  <dimension ref="A2:R208"/>
  <sheetViews>
    <sheetView zoomScale="70" zoomScaleNormal="70" workbookViewId="0">
      <selection activeCell="A202" sqref="A202:B202"/>
    </sheetView>
  </sheetViews>
  <sheetFormatPr baseColWidth="10" defaultRowHeight="13.8"/>
  <cols>
    <col min="1" max="1" width="53" style="3" bestFit="1" customWidth="1"/>
    <col min="2" max="2" width="42.21875" style="3" customWidth="1"/>
    <col min="3" max="3" width="14.5546875" style="3" bestFit="1" customWidth="1"/>
    <col min="4" max="4" width="57.33203125" style="100" customWidth="1"/>
    <col min="5" max="5" width="13.33203125" style="3" customWidth="1"/>
    <col min="6" max="7" width="12.5546875" style="3" bestFit="1" customWidth="1"/>
    <col min="8" max="9" width="13.6640625" style="3" bestFit="1" customWidth="1"/>
    <col min="10" max="10" width="10.33203125" style="3" bestFit="1" customWidth="1"/>
    <col min="11" max="11" width="12.5546875" style="3" bestFit="1" customWidth="1"/>
    <col min="12" max="16" width="11.6640625" style="3" bestFit="1" customWidth="1"/>
    <col min="17" max="17" width="12.21875" style="3" bestFit="1" customWidth="1"/>
    <col min="18" max="18" width="11.6640625" style="3" bestFit="1" customWidth="1"/>
    <col min="19" max="16384" width="11.5546875" style="3"/>
  </cols>
  <sheetData>
    <row r="2" spans="1:18" ht="14.4" thickBot="1">
      <c r="A2" s="1" t="s">
        <v>167</v>
      </c>
    </row>
    <row r="3" spans="1:18">
      <c r="B3" s="4" t="s">
        <v>20</v>
      </c>
      <c r="C3" s="4" t="s">
        <v>21</v>
      </c>
      <c r="D3" s="101" t="s">
        <v>22</v>
      </c>
      <c r="E3" s="4">
        <v>2010</v>
      </c>
      <c r="F3" s="4">
        <v>2011</v>
      </c>
      <c r="G3" s="4">
        <v>2012</v>
      </c>
      <c r="H3" s="4">
        <v>2013</v>
      </c>
      <c r="I3" s="4">
        <v>2014</v>
      </c>
      <c r="J3" s="4">
        <v>2015</v>
      </c>
      <c r="K3" s="4">
        <v>2016</v>
      </c>
      <c r="L3" s="4">
        <v>2017</v>
      </c>
      <c r="M3" s="4">
        <v>2018</v>
      </c>
      <c r="N3" s="4">
        <v>2019</v>
      </c>
      <c r="O3" s="4">
        <v>2020</v>
      </c>
      <c r="P3" s="4">
        <v>2021</v>
      </c>
      <c r="Q3" s="4">
        <v>2022</v>
      </c>
      <c r="R3" s="4">
        <v>2023</v>
      </c>
    </row>
    <row r="4" spans="1:18" ht="14.4" customHeight="1">
      <c r="A4" s="5" t="s">
        <v>168</v>
      </c>
      <c r="B4" s="394" t="s">
        <v>169</v>
      </c>
      <c r="C4" s="442" t="s">
        <v>170</v>
      </c>
      <c r="D4" s="153" t="s">
        <v>171</v>
      </c>
      <c r="E4" s="68">
        <v>240.28634766835191</v>
      </c>
      <c r="F4" s="68">
        <v>157.08864008378359</v>
      </c>
      <c r="G4" s="68">
        <v>324.87262082535727</v>
      </c>
      <c r="H4" s="68">
        <v>1046.9963589439881</v>
      </c>
      <c r="I4" s="68">
        <v>1473.531106792032</v>
      </c>
      <c r="J4" s="68">
        <v>619.32120051414086</v>
      </c>
      <c r="K4" s="68">
        <v>1009.62157017865</v>
      </c>
      <c r="L4" s="68">
        <v>614.61556595441027</v>
      </c>
      <c r="M4" s="68">
        <v>848.90994674423666</v>
      </c>
      <c r="N4" s="68">
        <v>356.97263760852252</v>
      </c>
      <c r="O4" s="68">
        <v>1215.362661491343</v>
      </c>
      <c r="P4" s="68">
        <v>707.07390820679052</v>
      </c>
      <c r="Q4" s="68">
        <v>756.04152694247887</v>
      </c>
      <c r="R4" s="68">
        <v>1040.0064143265311</v>
      </c>
    </row>
    <row r="5" spans="1:18">
      <c r="A5" s="5" t="s">
        <v>172</v>
      </c>
      <c r="B5" s="410"/>
      <c r="C5" s="443"/>
      <c r="D5" s="153" t="s">
        <v>112</v>
      </c>
      <c r="E5" s="69">
        <v>3.724640680314494E-3</v>
      </c>
      <c r="F5" s="69">
        <v>2.4350061705499288E-3</v>
      </c>
      <c r="G5" s="69">
        <v>5.0357991254527052E-3</v>
      </c>
      <c r="H5" s="69">
        <v>1.6229325005373829E-2</v>
      </c>
      <c r="I5" s="69">
        <v>2.2840972686644714E-2</v>
      </c>
      <c r="J5" s="69">
        <v>9.5999999999999992E-3</v>
      </c>
      <c r="K5" s="69">
        <v>1.6E-2</v>
      </c>
      <c r="L5" s="69">
        <v>9.5999999999999992E-3</v>
      </c>
      <c r="M5" s="69">
        <v>1.2999999999999999E-2</v>
      </c>
      <c r="N5" s="69">
        <v>5.4999999999999997E-3</v>
      </c>
      <c r="O5" s="69">
        <v>1.9E-2</v>
      </c>
      <c r="P5" s="69">
        <v>1.0999999999999999E-2</v>
      </c>
      <c r="Q5" s="69">
        <v>1.2E-2</v>
      </c>
      <c r="R5" s="69">
        <v>1.6E-2</v>
      </c>
    </row>
    <row r="6" spans="1:18">
      <c r="A6" s="5" t="s">
        <v>394</v>
      </c>
      <c r="B6" s="395"/>
      <c r="C6" s="444"/>
      <c r="D6" s="153" t="s">
        <v>171</v>
      </c>
      <c r="E6" s="258">
        <v>16.170025556467561</v>
      </c>
      <c r="F6" s="258">
        <v>6.072635882800566</v>
      </c>
      <c r="G6" s="258">
        <v>16.320480756915689</v>
      </c>
      <c r="H6" s="258">
        <v>32.502326805498598</v>
      </c>
      <c r="I6" s="258">
        <v>62.722684752817962</v>
      </c>
      <c r="J6" s="258">
        <v>6.5264213780859377</v>
      </c>
      <c r="K6" s="258">
        <v>9.4116689959065774</v>
      </c>
      <c r="L6" s="258">
        <v>8.1999450190028202</v>
      </c>
      <c r="M6" s="258">
        <v>21.027851499144969</v>
      </c>
      <c r="N6" s="258">
        <v>1.138711851684028</v>
      </c>
      <c r="O6" s="258">
        <v>102.1343062811541</v>
      </c>
      <c r="P6" s="258">
        <v>7.7466637797146252</v>
      </c>
      <c r="Q6" s="258">
        <v>11.46530316438151</v>
      </c>
      <c r="R6" s="258">
        <v>9.1894952558664293</v>
      </c>
    </row>
    <row r="9" spans="1:18" ht="14.4" thickBot="1">
      <c r="A9" s="1" t="s">
        <v>173</v>
      </c>
    </row>
    <row r="10" spans="1:18">
      <c r="B10" s="4" t="s">
        <v>20</v>
      </c>
      <c r="C10" s="4" t="s">
        <v>21</v>
      </c>
      <c r="D10" s="101" t="s">
        <v>22</v>
      </c>
      <c r="E10" s="4">
        <v>2010</v>
      </c>
      <c r="F10" s="4">
        <v>2011</v>
      </c>
      <c r="G10" s="4">
        <v>2012</v>
      </c>
      <c r="H10" s="4">
        <v>2013</v>
      </c>
      <c r="I10" s="4">
        <v>2014</v>
      </c>
      <c r="J10" s="4">
        <v>2015</v>
      </c>
      <c r="K10" s="4">
        <v>2016</v>
      </c>
      <c r="L10" s="4">
        <v>2017</v>
      </c>
      <c r="M10" s="4">
        <v>2018</v>
      </c>
      <c r="N10" s="4">
        <v>2019</v>
      </c>
      <c r="O10" s="4">
        <v>2020</v>
      </c>
      <c r="P10" s="4">
        <v>2021</v>
      </c>
      <c r="Q10" s="4">
        <v>2022</v>
      </c>
      <c r="R10" s="4">
        <v>2023</v>
      </c>
    </row>
    <row r="11" spans="1:18" ht="13.8" customHeight="1">
      <c r="A11" s="5" t="s">
        <v>174</v>
      </c>
      <c r="B11" s="357" t="s">
        <v>169</v>
      </c>
      <c r="C11" s="358" t="s">
        <v>175</v>
      </c>
      <c r="D11" s="259" t="s">
        <v>176</v>
      </c>
      <c r="E11" s="69">
        <v>8.6738463217970879E-2</v>
      </c>
      <c r="F11" s="69">
        <v>5.8238144065953908E-2</v>
      </c>
      <c r="G11" s="69">
        <v>0.1206783503983183</v>
      </c>
      <c r="H11" s="69">
        <v>0.37743586471793061</v>
      </c>
      <c r="I11" s="69">
        <v>0.52567467626896525</v>
      </c>
      <c r="J11" s="69">
        <v>0.21111045889997479</v>
      </c>
      <c r="K11" s="69">
        <v>0.33935983474383441</v>
      </c>
      <c r="L11" s="69">
        <v>0.2105910997535678</v>
      </c>
      <c r="M11" s="69">
        <v>0.29239967779858672</v>
      </c>
      <c r="N11" s="69">
        <v>0.1215239510937403</v>
      </c>
      <c r="O11" s="69">
        <v>0.46335028520185478</v>
      </c>
      <c r="P11" s="69">
        <v>0.31275865719538842</v>
      </c>
      <c r="Q11" s="69">
        <v>0.34002909346482973</v>
      </c>
      <c r="R11" s="69">
        <v>0.46438342075388067</v>
      </c>
    </row>
    <row r="12" spans="1:18">
      <c r="A12" s="5" t="s">
        <v>177</v>
      </c>
      <c r="B12" s="357"/>
      <c r="C12" s="358"/>
      <c r="D12" s="259" t="s">
        <v>176</v>
      </c>
      <c r="E12" s="70">
        <v>8.670443361900948E-2</v>
      </c>
      <c r="F12" s="70">
        <v>5.8236771307016016E-2</v>
      </c>
      <c r="G12" s="70">
        <v>0.12067672117911821</v>
      </c>
      <c r="H12" s="70">
        <v>0.37736737513597113</v>
      </c>
      <c r="I12" s="70">
        <v>0.52560468704750818</v>
      </c>
      <c r="J12" s="70">
        <v>0.21110197618982399</v>
      </c>
      <c r="K12" s="70">
        <v>0.33935441382570153</v>
      </c>
      <c r="L12" s="70">
        <v>0.21058880233696872</v>
      </c>
      <c r="M12" s="70">
        <v>0.2923834080512368</v>
      </c>
      <c r="N12" s="70">
        <v>0.1215222513658232</v>
      </c>
      <c r="O12" s="70">
        <v>0.46327870347718891</v>
      </c>
      <c r="P12" s="70">
        <v>0.31273232253180172</v>
      </c>
      <c r="Q12" s="70">
        <v>0.33998108451902487</v>
      </c>
      <c r="R12" s="70">
        <v>0.46432953780357761</v>
      </c>
    </row>
    <row r="13" spans="1:18">
      <c r="A13" s="5" t="s">
        <v>178</v>
      </c>
      <c r="B13" s="357"/>
      <c r="C13" s="358"/>
      <c r="D13" s="259" t="s">
        <v>176</v>
      </c>
      <c r="E13" s="70">
        <v>3.4029599250187851E-5</v>
      </c>
      <c r="F13" s="70">
        <v>1.372759517372217E-6</v>
      </c>
      <c r="G13" s="70">
        <v>1.6292203578446041E-6</v>
      </c>
      <c r="H13" s="70">
        <v>6.8489582466963524E-5</v>
      </c>
      <c r="I13" s="70">
        <v>6.9989217692948937E-5</v>
      </c>
      <c r="J13" s="70">
        <v>8.4827091384196193E-6</v>
      </c>
      <c r="K13" s="70">
        <v>5.420917698865027E-6</v>
      </c>
      <c r="L13" s="70">
        <v>2.2974163097018252E-6</v>
      </c>
      <c r="M13" s="70">
        <v>1.6269750534040739E-5</v>
      </c>
      <c r="N13" s="70">
        <v>1.6997276277049931E-6</v>
      </c>
      <c r="O13" s="70">
        <v>7.1581722204615899E-5</v>
      </c>
      <c r="P13" s="70">
        <v>2.633466184992007E-5</v>
      </c>
      <c r="Q13" s="70">
        <v>4.8008945079422617E-5</v>
      </c>
      <c r="R13" s="70">
        <v>5.3882950739009571E-5</v>
      </c>
    </row>
    <row r="14" spans="1:18">
      <c r="A14" s="5" t="s">
        <v>395</v>
      </c>
      <c r="B14" s="357"/>
      <c r="C14" s="358"/>
      <c r="D14" s="259" t="s">
        <v>176</v>
      </c>
      <c r="E14" s="70">
        <v>6.9788920814003582E-3</v>
      </c>
      <c r="F14" s="70">
        <v>2.5975004750988509E-3</v>
      </c>
      <c r="G14" s="70">
        <v>7.260381582300403E-3</v>
      </c>
      <c r="H14" s="70">
        <v>1.31196349491286E-2</v>
      </c>
      <c r="I14" s="70">
        <v>2.6896498312201592E-2</v>
      </c>
      <c r="J14" s="70">
        <v>2.4236286538917469E-3</v>
      </c>
      <c r="K14" s="70">
        <v>3.5734918773920538E-3</v>
      </c>
      <c r="L14" s="70">
        <v>3.2332000613133141E-3</v>
      </c>
      <c r="M14" s="70">
        <v>8.8234792046084295E-3</v>
      </c>
      <c r="N14" s="70">
        <v>4.6568747370718752E-4</v>
      </c>
      <c r="O14" s="70">
        <v>4.3432917585865011E-2</v>
      </c>
      <c r="P14" s="70">
        <v>3.1952077261052717E-3</v>
      </c>
      <c r="Q14" s="70">
        <v>4.8952736462093381E-3</v>
      </c>
      <c r="R14" s="70">
        <v>4.1394561491857728E-3</v>
      </c>
    </row>
    <row r="17" spans="1:18" ht="14.4" thickBot="1">
      <c r="A17" s="1" t="s">
        <v>179</v>
      </c>
    </row>
    <row r="18" spans="1:18">
      <c r="B18" s="4" t="s">
        <v>20</v>
      </c>
      <c r="C18" s="4" t="s">
        <v>21</v>
      </c>
      <c r="D18" s="101" t="s">
        <v>22</v>
      </c>
      <c r="E18" s="4">
        <v>2010</v>
      </c>
      <c r="F18" s="4">
        <v>2011</v>
      </c>
      <c r="G18" s="4">
        <v>2012</v>
      </c>
      <c r="H18" s="4">
        <v>2013</v>
      </c>
      <c r="I18" s="4">
        <v>2014</v>
      </c>
      <c r="J18" s="4">
        <v>2015</v>
      </c>
      <c r="K18" s="4">
        <v>2016</v>
      </c>
      <c r="L18" s="4">
        <v>2017</v>
      </c>
      <c r="M18" s="4">
        <v>2018</v>
      </c>
      <c r="N18" s="4">
        <v>2019</v>
      </c>
      <c r="O18" s="4">
        <v>2020</v>
      </c>
      <c r="P18" s="4">
        <v>2021</v>
      </c>
      <c r="Q18" s="4">
        <v>2022</v>
      </c>
      <c r="R18" s="4">
        <v>2023</v>
      </c>
    </row>
    <row r="19" spans="1:18">
      <c r="A19" s="5" t="s">
        <v>180</v>
      </c>
      <c r="B19" s="357" t="s">
        <v>181</v>
      </c>
      <c r="C19" s="344" t="s">
        <v>182</v>
      </c>
      <c r="D19" s="148" t="s">
        <v>183</v>
      </c>
      <c r="E19" s="7">
        <v>7014000</v>
      </c>
      <c r="F19" s="7">
        <v>7145730</v>
      </c>
      <c r="G19" s="7">
        <v>7217615</v>
      </c>
      <c r="H19" s="7">
        <v>7440542</v>
      </c>
      <c r="I19" s="7">
        <v>7240342</v>
      </c>
      <c r="J19" s="7">
        <v>7518200</v>
      </c>
      <c r="K19" s="7">
        <v>7399700</v>
      </c>
      <c r="L19" s="7">
        <v>7537600</v>
      </c>
      <c r="M19" s="7">
        <v>8106900</v>
      </c>
      <c r="N19" s="7">
        <v>8171800</v>
      </c>
      <c r="O19" s="7">
        <v>8290800</v>
      </c>
      <c r="P19" s="7">
        <v>8240400</v>
      </c>
      <c r="Q19" s="7">
        <v>8386092</v>
      </c>
      <c r="R19" s="7">
        <v>8377098</v>
      </c>
    </row>
    <row r="20" spans="1:18">
      <c r="A20" s="5" t="s">
        <v>184</v>
      </c>
      <c r="B20" s="357"/>
      <c r="C20" s="344"/>
      <c r="D20" s="148" t="s">
        <v>185</v>
      </c>
      <c r="E20" s="9">
        <v>16.635438654744682</v>
      </c>
      <c r="F20" s="9">
        <v>16.947868984654793</v>
      </c>
      <c r="G20" s="9">
        <v>17.118362071010129</v>
      </c>
      <c r="H20" s="9">
        <v>17.647088679648032</v>
      </c>
      <c r="I20" s="9">
        <v>17.172264781917796</v>
      </c>
      <c r="J20" s="9">
        <v>17.831273865711644</v>
      </c>
      <c r="K20" s="9">
        <v>17.550221758413777</v>
      </c>
      <c r="L20" s="9">
        <v>17.877285771885301</v>
      </c>
      <c r="M20" s="9">
        <v>19.227521760785521</v>
      </c>
      <c r="N20" s="9">
        <v>19.381448189170598</v>
      </c>
      <c r="O20" s="9">
        <v>19.663686170338924</v>
      </c>
      <c r="P20" s="9">
        <v>19.544150084197046</v>
      </c>
      <c r="Q20" s="9">
        <v>19.889694756065744</v>
      </c>
      <c r="R20" s="9">
        <v>19.868363256883999</v>
      </c>
    </row>
    <row r="23" spans="1:18" ht="14.4" thickBot="1">
      <c r="A23" s="1" t="s">
        <v>186</v>
      </c>
    </row>
    <row r="24" spans="1:18">
      <c r="B24" s="4" t="s">
        <v>20</v>
      </c>
      <c r="C24" s="4" t="s">
        <v>21</v>
      </c>
      <c r="D24" s="101" t="s">
        <v>22</v>
      </c>
      <c r="E24" s="4">
        <v>2010</v>
      </c>
      <c r="F24" s="4">
        <v>2011</v>
      </c>
      <c r="G24" s="4">
        <v>2012</v>
      </c>
      <c r="H24" s="4">
        <v>2013</v>
      </c>
      <c r="I24" s="4">
        <v>2014</v>
      </c>
      <c r="J24" s="4">
        <v>2015</v>
      </c>
      <c r="K24" s="4">
        <v>2016</v>
      </c>
      <c r="L24" s="4">
        <v>2017</v>
      </c>
      <c r="M24" s="4">
        <v>2018</v>
      </c>
      <c r="N24" s="4">
        <v>2019</v>
      </c>
      <c r="O24" s="4">
        <v>2020</v>
      </c>
      <c r="P24" s="4">
        <v>2021</v>
      </c>
      <c r="Q24" s="4">
        <v>2022</v>
      </c>
      <c r="R24" s="4">
        <v>2023</v>
      </c>
    </row>
    <row r="25" spans="1:18" ht="22.2" customHeight="1">
      <c r="A25" s="5" t="s">
        <v>187</v>
      </c>
      <c r="B25" s="357" t="s">
        <v>188</v>
      </c>
      <c r="C25" s="344" t="s">
        <v>396</v>
      </c>
      <c r="D25" s="147" t="s">
        <v>183</v>
      </c>
      <c r="E25" s="151">
        <v>1753500</v>
      </c>
      <c r="F25" s="151">
        <v>1786432.5</v>
      </c>
      <c r="G25" s="151">
        <v>1804403.75</v>
      </c>
      <c r="H25" s="151">
        <v>1860135.5</v>
      </c>
      <c r="I25" s="151">
        <v>1810085.5</v>
      </c>
      <c r="J25" s="151">
        <v>1879550</v>
      </c>
      <c r="K25" s="151">
        <v>1849925</v>
      </c>
      <c r="L25" s="151">
        <v>1884400</v>
      </c>
      <c r="M25" s="151">
        <v>2026725</v>
      </c>
      <c r="N25" s="151">
        <v>2042950</v>
      </c>
      <c r="O25" s="151">
        <v>2072700</v>
      </c>
      <c r="P25" s="151">
        <v>2060100</v>
      </c>
      <c r="Q25" s="151">
        <f>Q19*0.25</f>
        <v>2096523</v>
      </c>
      <c r="R25" s="151">
        <f>R19*0.25</f>
        <v>2094274.5</v>
      </c>
    </row>
    <row r="26" spans="1:18" ht="22.8" customHeight="1">
      <c r="A26" s="5" t="s">
        <v>190</v>
      </c>
      <c r="B26" s="357"/>
      <c r="C26" s="344"/>
      <c r="D26" s="147" t="s">
        <v>185</v>
      </c>
      <c r="E26" s="19">
        <v>4.1588596636861705</v>
      </c>
      <c r="F26" s="19">
        <v>4.2369672461636982</v>
      </c>
      <c r="G26" s="19">
        <v>4.2795905177525322</v>
      </c>
      <c r="H26" s="19">
        <v>4.411772169912008</v>
      </c>
      <c r="I26" s="19">
        <v>4.2930661954794491</v>
      </c>
      <c r="J26" s="19">
        <v>4.457818466427911</v>
      </c>
      <c r="K26" s="19">
        <v>4.3875554396034442</v>
      </c>
      <c r="L26" s="19">
        <v>4.4693214429713253</v>
      </c>
      <c r="M26" s="19">
        <v>4.8068804401963803</v>
      </c>
      <c r="N26" s="19">
        <v>4.8453620472926495</v>
      </c>
      <c r="O26" s="19">
        <v>4.9159215425847309</v>
      </c>
      <c r="P26" s="19">
        <v>4.8860375210492615</v>
      </c>
      <c r="Q26" s="19">
        <v>4.9724236890164359</v>
      </c>
      <c r="R26" s="19">
        <v>4.9670908142209997</v>
      </c>
    </row>
    <row r="29" spans="1:18" ht="14.4" thickBot="1">
      <c r="A29" s="1" t="s">
        <v>191</v>
      </c>
    </row>
    <row r="30" spans="1:18">
      <c r="B30" s="4" t="s">
        <v>20</v>
      </c>
      <c r="C30" s="4" t="s">
        <v>21</v>
      </c>
      <c r="D30" s="101" t="s">
        <v>22</v>
      </c>
      <c r="E30" s="4">
        <v>2010</v>
      </c>
      <c r="F30" s="4">
        <v>2011</v>
      </c>
      <c r="G30" s="4">
        <v>2012</v>
      </c>
      <c r="H30" s="4">
        <v>2013</v>
      </c>
      <c r="I30" s="4">
        <v>2014</v>
      </c>
      <c r="J30" s="4">
        <v>2015</v>
      </c>
      <c r="K30" s="4">
        <v>2016</v>
      </c>
      <c r="L30" s="4">
        <v>2017</v>
      </c>
      <c r="M30" s="4">
        <v>2018</v>
      </c>
      <c r="N30" s="4">
        <v>2019</v>
      </c>
      <c r="O30" s="4">
        <v>2020</v>
      </c>
      <c r="P30" s="4">
        <v>2021</v>
      </c>
      <c r="Q30" s="4">
        <v>2022</v>
      </c>
      <c r="R30" s="4">
        <v>2023</v>
      </c>
    </row>
    <row r="31" spans="1:18" s="43" customFormat="1" ht="22.2" customHeight="1">
      <c r="A31" s="5" t="s">
        <v>192</v>
      </c>
      <c r="B31" s="357" t="s">
        <v>181</v>
      </c>
      <c r="C31" s="345" t="s">
        <v>193</v>
      </c>
      <c r="D31" s="147" t="s">
        <v>183</v>
      </c>
      <c r="E31" s="151">
        <v>12099150</v>
      </c>
      <c r="F31" s="151">
        <v>12326384.25</v>
      </c>
      <c r="G31" s="151">
        <v>12450385.875</v>
      </c>
      <c r="H31" s="151">
        <v>12834934.950000001</v>
      </c>
      <c r="I31" s="151">
        <v>12489589.950000001</v>
      </c>
      <c r="J31" s="151">
        <v>12968895</v>
      </c>
      <c r="K31" s="151">
        <v>12764482.5</v>
      </c>
      <c r="L31" s="151">
        <v>13002360</v>
      </c>
      <c r="M31" s="151">
        <v>13984402.5</v>
      </c>
      <c r="N31" s="151">
        <v>14096355</v>
      </c>
      <c r="O31" s="151">
        <v>14301630</v>
      </c>
      <c r="P31" s="151">
        <v>14214690</v>
      </c>
      <c r="Q31" s="151">
        <v>14466008.700000001</v>
      </c>
      <c r="R31" s="151">
        <v>14450494.050000001</v>
      </c>
    </row>
    <row r="32" spans="1:18" s="43" customFormat="1" ht="22.8" customHeight="1">
      <c r="A32" s="5" t="s">
        <v>194</v>
      </c>
      <c r="B32" s="357"/>
      <c r="C32" s="345"/>
      <c r="D32" s="147" t="s">
        <v>185</v>
      </c>
      <c r="E32" s="19">
        <v>28.696131679434579</v>
      </c>
      <c r="F32" s="19">
        <v>29.235073998529518</v>
      </c>
      <c r="G32" s="19">
        <v>29.529174572492472</v>
      </c>
      <c r="H32" s="19">
        <v>30.441227972392856</v>
      </c>
      <c r="I32" s="19">
        <v>29.622156748808202</v>
      </c>
      <c r="J32" s="19">
        <v>30.758947418352587</v>
      </c>
      <c r="K32" s="19">
        <v>30.274132533263767</v>
      </c>
      <c r="L32" s="19">
        <v>30.838317956502145</v>
      </c>
      <c r="M32" s="19">
        <v>33.167475037355025</v>
      </c>
      <c r="N32" s="19">
        <v>33.432998126319283</v>
      </c>
      <c r="O32" s="19">
        <v>33.919858643834644</v>
      </c>
      <c r="P32" s="19">
        <v>33.713658895239909</v>
      </c>
      <c r="Q32" s="19">
        <v>34.309723454213412</v>
      </c>
      <c r="R32" s="19">
        <v>34.272926618124899</v>
      </c>
    </row>
    <row r="35" spans="1:8" ht="14.4" thickBot="1">
      <c r="A35" s="1" t="s">
        <v>195</v>
      </c>
    </row>
    <row r="36" spans="1:8">
      <c r="B36" s="4" t="s">
        <v>196</v>
      </c>
      <c r="C36" s="4" t="s">
        <v>20</v>
      </c>
      <c r="D36" s="101" t="s">
        <v>21</v>
      </c>
      <c r="E36" s="4" t="s">
        <v>22</v>
      </c>
      <c r="F36" s="4">
        <v>2010</v>
      </c>
      <c r="G36" s="4">
        <v>2017</v>
      </c>
      <c r="H36" s="4">
        <v>2020</v>
      </c>
    </row>
    <row r="37" spans="1:8">
      <c r="A37" s="388" t="s">
        <v>197</v>
      </c>
      <c r="B37" s="125" t="s">
        <v>397</v>
      </c>
      <c r="C37" s="390" t="s">
        <v>199</v>
      </c>
      <c r="D37" s="341" t="s">
        <v>200</v>
      </c>
      <c r="E37" s="377" t="s">
        <v>171</v>
      </c>
      <c r="F37" s="71">
        <v>4449.6000137299998</v>
      </c>
      <c r="G37" s="71">
        <v>6827.4000091599992</v>
      </c>
      <c r="H37" s="71">
        <v>5723.0000839999993</v>
      </c>
    </row>
    <row r="38" spans="1:8" ht="14.4" customHeight="1">
      <c r="A38" s="382"/>
      <c r="B38" s="125" t="s">
        <v>204</v>
      </c>
      <c r="C38" s="391"/>
      <c r="D38" s="339"/>
      <c r="E38" s="377"/>
      <c r="F38" s="71">
        <v>0</v>
      </c>
      <c r="G38" s="71">
        <v>1002.0000034899999</v>
      </c>
      <c r="H38" s="71">
        <v>1961.0999777099998</v>
      </c>
    </row>
    <row r="39" spans="1:8" ht="14.4" customHeight="1">
      <c r="A39" s="382"/>
      <c r="B39" s="125" t="s">
        <v>398</v>
      </c>
      <c r="C39" s="391"/>
      <c r="D39" s="339"/>
      <c r="E39" s="377"/>
      <c r="F39" s="71">
        <v>5942.7999935000007</v>
      </c>
      <c r="G39" s="71">
        <v>12252.000012549999</v>
      </c>
      <c r="H39" s="71">
        <v>16913.99996039</v>
      </c>
    </row>
    <row r="40" spans="1:8" ht="14.4" customHeight="1">
      <c r="A40" s="382"/>
      <c r="B40" s="125" t="s">
        <v>206</v>
      </c>
      <c r="C40" s="391"/>
      <c r="D40" s="339"/>
      <c r="E40" s="377"/>
      <c r="F40" s="71">
        <v>46679.399887100008</v>
      </c>
      <c r="G40" s="71">
        <v>45943.199550060002</v>
      </c>
      <c r="H40" s="71">
        <v>60406.999908440004</v>
      </c>
    </row>
    <row r="41" spans="1:8" ht="14.4" customHeight="1">
      <c r="A41" s="382"/>
      <c r="B41" s="125" t="s">
        <v>226</v>
      </c>
      <c r="C41" s="391"/>
      <c r="D41" s="339"/>
      <c r="E41" s="377"/>
      <c r="F41" s="71">
        <v>115.90000019999999</v>
      </c>
      <c r="G41" s="71">
        <v>270.40000058000004</v>
      </c>
      <c r="H41" s="71">
        <v>17</v>
      </c>
    </row>
    <row r="42" spans="1:8" ht="14.4" customHeight="1">
      <c r="A42" s="382"/>
      <c r="B42" s="125" t="s">
        <v>207</v>
      </c>
      <c r="C42" s="391"/>
      <c r="D42" s="339"/>
      <c r="E42" s="377"/>
      <c r="F42" s="71">
        <v>172.99999939999998</v>
      </c>
      <c r="G42" s="71">
        <v>733.40000327999996</v>
      </c>
      <c r="H42" s="71">
        <v>13.300000199999999</v>
      </c>
    </row>
    <row r="43" spans="1:8" ht="14.4" customHeight="1">
      <c r="A43" s="382"/>
      <c r="B43" s="125" t="s">
        <v>399</v>
      </c>
      <c r="C43" s="391"/>
      <c r="D43" s="339"/>
      <c r="E43" s="377"/>
      <c r="F43" s="71">
        <v>211.69999956999999</v>
      </c>
      <c r="G43" s="71">
        <v>283.20000217999996</v>
      </c>
      <c r="H43" s="71">
        <v>3.7000000499999999</v>
      </c>
    </row>
    <row r="44" spans="1:8" ht="14.4" customHeight="1">
      <c r="A44" s="382"/>
      <c r="B44" s="125" t="s">
        <v>198</v>
      </c>
      <c r="C44" s="391"/>
      <c r="D44" s="339"/>
      <c r="E44" s="377"/>
      <c r="F44" s="71">
        <v>2710.6000137399997</v>
      </c>
      <c r="G44" s="71">
        <v>4334.3000156799999</v>
      </c>
      <c r="H44" s="71">
        <v>2935.1999588199997</v>
      </c>
    </row>
    <row r="45" spans="1:8" ht="14.4" customHeight="1">
      <c r="A45" s="382"/>
      <c r="B45" s="125" t="s">
        <v>400</v>
      </c>
      <c r="C45" s="391"/>
      <c r="D45" s="339"/>
      <c r="E45" s="377"/>
      <c r="F45" s="71">
        <v>1900.79998447</v>
      </c>
      <c r="G45" s="71">
        <v>2697.4000165299999</v>
      </c>
      <c r="H45" s="71">
        <v>555.29999969000005</v>
      </c>
    </row>
    <row r="46" spans="1:8" ht="14.4" customHeight="1">
      <c r="A46" s="382"/>
      <c r="B46" s="125" t="s">
        <v>401</v>
      </c>
      <c r="C46" s="391"/>
      <c r="D46" s="339"/>
      <c r="E46" s="377"/>
      <c r="F46" s="71">
        <v>0</v>
      </c>
      <c r="G46" s="71">
        <v>2507.6000250000002</v>
      </c>
      <c r="H46" s="71">
        <v>2032.79999256</v>
      </c>
    </row>
    <row r="47" spans="1:8" ht="14.4" customHeight="1">
      <c r="A47" s="382"/>
      <c r="B47" s="125" t="s">
        <v>211</v>
      </c>
      <c r="C47" s="391"/>
      <c r="D47" s="339"/>
      <c r="E47" s="377"/>
      <c r="F47" s="71">
        <v>5504.0999643800005</v>
      </c>
      <c r="G47" s="71">
        <v>3899.89999395</v>
      </c>
      <c r="H47" s="71">
        <v>721.10000398000011</v>
      </c>
    </row>
    <row r="48" spans="1:8" ht="14.4" customHeight="1">
      <c r="A48" s="382"/>
      <c r="B48" s="125" t="s">
        <v>402</v>
      </c>
      <c r="C48" s="391"/>
      <c r="D48" s="339"/>
      <c r="E48" s="377"/>
      <c r="F48" s="71">
        <v>0</v>
      </c>
      <c r="G48" s="71">
        <v>0</v>
      </c>
      <c r="H48" s="71">
        <v>3169.4000068699997</v>
      </c>
    </row>
    <row r="49" spans="1:8" ht="14.4" customHeight="1">
      <c r="A49" s="382"/>
      <c r="B49" s="125" t="s">
        <v>212</v>
      </c>
      <c r="C49" s="391"/>
      <c r="D49" s="339"/>
      <c r="E49" s="377"/>
      <c r="F49" s="71">
        <v>1116.4000072199999</v>
      </c>
      <c r="G49" s="71">
        <v>2033.39998543</v>
      </c>
      <c r="H49" s="71">
        <v>1604</v>
      </c>
    </row>
    <row r="50" spans="1:8" ht="14.4" customHeight="1">
      <c r="A50" s="382"/>
      <c r="B50" s="125" t="s">
        <v>403</v>
      </c>
      <c r="C50" s="391"/>
      <c r="D50" s="339"/>
      <c r="E50" s="377"/>
      <c r="F50" s="71">
        <v>2490.5000141500004</v>
      </c>
      <c r="G50" s="71">
        <v>3180.29998854</v>
      </c>
      <c r="H50" s="71">
        <v>6355.3999319000004</v>
      </c>
    </row>
    <row r="51" spans="1:8" ht="14.4" customHeight="1">
      <c r="A51" s="382"/>
      <c r="B51" s="125" t="s">
        <v>404</v>
      </c>
      <c r="C51" s="391"/>
      <c r="D51" s="339"/>
      <c r="E51" s="377"/>
      <c r="F51" s="71">
        <v>617.10000229000002</v>
      </c>
      <c r="G51" s="71">
        <v>3295.3000038999999</v>
      </c>
      <c r="H51" s="71">
        <v>28774.200292930003</v>
      </c>
    </row>
    <row r="52" spans="1:8" ht="14.4" customHeight="1">
      <c r="A52" s="382"/>
      <c r="B52" s="125" t="s">
        <v>405</v>
      </c>
      <c r="C52" s="391"/>
      <c r="D52" s="339"/>
      <c r="E52" s="377"/>
      <c r="F52" s="71">
        <v>1618</v>
      </c>
      <c r="G52" s="71">
        <v>2146.5999879999999</v>
      </c>
      <c r="H52" s="71">
        <v>3580.6999731200008</v>
      </c>
    </row>
    <row r="53" spans="1:8" ht="14.4" customHeight="1">
      <c r="A53" s="382"/>
      <c r="B53" s="125" t="s">
        <v>213</v>
      </c>
      <c r="C53" s="391"/>
      <c r="D53" s="339"/>
      <c r="E53" s="377"/>
      <c r="F53" s="71">
        <v>918.4000010499999</v>
      </c>
      <c r="G53" s="71">
        <v>1235.99999783</v>
      </c>
      <c r="H53" s="71">
        <v>7543.4000107299989</v>
      </c>
    </row>
    <row r="54" spans="1:8" ht="14.4" customHeight="1">
      <c r="A54" s="382"/>
      <c r="B54" s="125" t="s">
        <v>214</v>
      </c>
      <c r="C54" s="391"/>
      <c r="D54" s="339"/>
      <c r="E54" s="377"/>
      <c r="F54" s="71">
        <v>772.19999863999988</v>
      </c>
      <c r="G54" s="71">
        <v>1830.0999885700001</v>
      </c>
      <c r="H54" s="71">
        <v>4811.1999915400002</v>
      </c>
    </row>
    <row r="55" spans="1:8" ht="14.4" customHeight="1">
      <c r="A55" s="382"/>
      <c r="B55" s="125" t="s">
        <v>215</v>
      </c>
      <c r="C55" s="391"/>
      <c r="D55" s="339"/>
      <c r="E55" s="377"/>
      <c r="F55" s="71">
        <v>27.400000159999998</v>
      </c>
      <c r="G55" s="71">
        <v>92.899999969999996</v>
      </c>
      <c r="H55" s="71">
        <v>0</v>
      </c>
    </row>
    <row r="56" spans="1:8" ht="14.4" customHeight="1">
      <c r="A56" s="382"/>
      <c r="B56" s="125" t="s">
        <v>216</v>
      </c>
      <c r="C56" s="391"/>
      <c r="D56" s="339"/>
      <c r="E56" s="377"/>
      <c r="F56" s="71">
        <v>1707.7999906800001</v>
      </c>
      <c r="G56" s="71">
        <v>4008.3000266399995</v>
      </c>
      <c r="H56" s="71">
        <v>7681.9999532700012</v>
      </c>
    </row>
    <row r="57" spans="1:8" ht="14.4" customHeight="1">
      <c r="A57" s="382"/>
      <c r="B57" s="125" t="s">
        <v>217</v>
      </c>
      <c r="C57" s="391"/>
      <c r="D57" s="339"/>
      <c r="E57" s="377"/>
      <c r="F57" s="71">
        <v>5478.1999779000007</v>
      </c>
      <c r="G57" s="71">
        <v>10478.300046479999</v>
      </c>
      <c r="H57" s="71">
        <v>9622.1999782700004</v>
      </c>
    </row>
    <row r="58" spans="1:8" ht="14.4" customHeight="1">
      <c r="A58" s="382"/>
      <c r="B58" s="125" t="s">
        <v>406</v>
      </c>
      <c r="C58" s="391"/>
      <c r="D58" s="339"/>
      <c r="E58" s="377"/>
      <c r="F58" s="71">
        <v>573.79998779000005</v>
      </c>
      <c r="G58" s="71">
        <v>0</v>
      </c>
      <c r="H58" s="71">
        <v>1802.2000389100001</v>
      </c>
    </row>
    <row r="59" spans="1:8" ht="14.4" customHeight="1">
      <c r="A59" s="382"/>
      <c r="B59" s="125" t="s">
        <v>407</v>
      </c>
      <c r="C59" s="391"/>
      <c r="D59" s="339"/>
      <c r="E59" s="377"/>
      <c r="F59" s="71">
        <v>0</v>
      </c>
      <c r="G59" s="71">
        <v>3222.20000863</v>
      </c>
      <c r="H59" s="71">
        <v>950.40000688999999</v>
      </c>
    </row>
    <row r="60" spans="1:8" ht="14.4" customHeight="1">
      <c r="A60" s="382"/>
      <c r="B60" s="125" t="s">
        <v>219</v>
      </c>
      <c r="C60" s="391"/>
      <c r="D60" s="339"/>
      <c r="E60" s="377"/>
      <c r="F60" s="71">
        <v>5878.3999775500006</v>
      </c>
      <c r="G60" s="71">
        <v>1864.3000199599999</v>
      </c>
      <c r="H60" s="71">
        <v>1548.3999938900001</v>
      </c>
    </row>
    <row r="61" spans="1:8" ht="14.4" customHeight="1">
      <c r="A61" s="382"/>
      <c r="B61" s="125" t="s">
        <v>408</v>
      </c>
      <c r="C61" s="391"/>
      <c r="D61" s="339"/>
      <c r="E61" s="377"/>
      <c r="F61" s="71">
        <v>0</v>
      </c>
      <c r="G61" s="71">
        <v>46074.599822989992</v>
      </c>
      <c r="H61" s="71">
        <v>2898.6999878699999</v>
      </c>
    </row>
    <row r="62" spans="1:8" ht="14.4" customHeight="1">
      <c r="A62" s="382"/>
      <c r="B62" s="125" t="s">
        <v>409</v>
      </c>
      <c r="C62" s="391"/>
      <c r="D62" s="339"/>
      <c r="E62" s="377"/>
      <c r="F62" s="71">
        <v>18908.499899499999</v>
      </c>
      <c r="G62" s="71">
        <v>20026.000091739999</v>
      </c>
      <c r="H62" s="71">
        <v>20745.69985769</v>
      </c>
    </row>
    <row r="63" spans="1:8" ht="14.4" customHeight="1">
      <c r="A63" s="382"/>
      <c r="B63" s="125" t="s">
        <v>410</v>
      </c>
      <c r="C63" s="391"/>
      <c r="D63" s="339"/>
      <c r="E63" s="377"/>
      <c r="F63" s="71">
        <v>0</v>
      </c>
      <c r="G63" s="71">
        <v>1843.3000106699999</v>
      </c>
      <c r="H63" s="71">
        <v>3040.8000014400004</v>
      </c>
    </row>
    <row r="64" spans="1:8" ht="14.4" customHeight="1">
      <c r="A64" s="382"/>
      <c r="B64" s="125" t="s">
        <v>221</v>
      </c>
      <c r="C64" s="391"/>
      <c r="D64" s="339"/>
      <c r="E64" s="377"/>
      <c r="F64" s="71">
        <v>404.00000726000002</v>
      </c>
      <c r="G64" s="71">
        <v>498.70000418000001</v>
      </c>
      <c r="H64" s="71">
        <v>49.79999969</v>
      </c>
    </row>
    <row r="65" spans="1:8" ht="14.4" customHeight="1">
      <c r="A65" s="382"/>
      <c r="B65" s="125" t="s">
        <v>411</v>
      </c>
      <c r="C65" s="391"/>
      <c r="D65" s="339"/>
      <c r="E65" s="377"/>
      <c r="F65" s="71">
        <v>0</v>
      </c>
      <c r="G65" s="71">
        <v>0</v>
      </c>
      <c r="H65" s="71">
        <v>88</v>
      </c>
    </row>
    <row r="66" spans="1:8" ht="14.4" customHeight="1">
      <c r="A66" s="382"/>
      <c r="B66" s="125" t="s">
        <v>412</v>
      </c>
      <c r="C66" s="391"/>
      <c r="D66" s="339"/>
      <c r="E66" s="377"/>
      <c r="F66" s="71">
        <v>6788.7999916299996</v>
      </c>
      <c r="G66" s="71">
        <v>8335.2000717400006</v>
      </c>
      <c r="H66" s="71">
        <v>7591.3999786299992</v>
      </c>
    </row>
    <row r="67" spans="1:8" ht="14.4" customHeight="1">
      <c r="A67" s="382"/>
      <c r="B67" s="125" t="s">
        <v>413</v>
      </c>
      <c r="C67" s="391"/>
      <c r="D67" s="339"/>
      <c r="E67" s="377"/>
      <c r="F67" s="71">
        <v>1383.1999967199999</v>
      </c>
      <c r="G67" s="71">
        <v>336.49999762999994</v>
      </c>
      <c r="H67" s="71">
        <v>8.6999998099999996</v>
      </c>
    </row>
    <row r="68" spans="1:8" ht="14.4" customHeight="1">
      <c r="A68" s="382"/>
      <c r="B68" s="125" t="s">
        <v>203</v>
      </c>
      <c r="C68" s="391"/>
      <c r="D68" s="339"/>
      <c r="E68" s="377"/>
      <c r="F68" s="71">
        <v>0</v>
      </c>
      <c r="G68" s="71">
        <v>715.69999765000011</v>
      </c>
      <c r="H68" s="71">
        <v>642.59999467</v>
      </c>
    </row>
    <row r="69" spans="1:8" ht="14.4" customHeight="1">
      <c r="A69" s="382"/>
      <c r="B69" s="125" t="s">
        <v>414</v>
      </c>
      <c r="C69" s="391"/>
      <c r="D69" s="339"/>
      <c r="E69" s="377"/>
      <c r="F69" s="71" t="s">
        <v>108</v>
      </c>
      <c r="G69" s="71" t="s">
        <v>108</v>
      </c>
      <c r="H69" s="71">
        <v>335.59999683999996</v>
      </c>
    </row>
    <row r="70" spans="1:8" ht="14.4" customHeight="1">
      <c r="A70" s="382"/>
      <c r="B70" s="125" t="s">
        <v>220</v>
      </c>
      <c r="C70" s="391"/>
      <c r="D70" s="339"/>
      <c r="E70" s="377"/>
      <c r="F70" s="71" t="s">
        <v>108</v>
      </c>
      <c r="G70" s="71" t="s">
        <v>108</v>
      </c>
      <c r="H70" s="71">
        <v>1093.5999970399998</v>
      </c>
    </row>
    <row r="71" spans="1:8" ht="15" customHeight="1" thickBot="1">
      <c r="A71" s="389"/>
      <c r="B71" s="260" t="s">
        <v>202</v>
      </c>
      <c r="C71" s="391"/>
      <c r="D71" s="339"/>
      <c r="E71" s="379"/>
      <c r="F71" s="261" t="s">
        <v>108</v>
      </c>
      <c r="G71" s="261" t="s">
        <v>108</v>
      </c>
      <c r="H71" s="261">
        <v>1726.0000081200001</v>
      </c>
    </row>
    <row r="72" spans="1:8" ht="15" customHeight="1" thickTop="1">
      <c r="A72" s="382" t="s">
        <v>222</v>
      </c>
      <c r="B72" s="262" t="s">
        <v>397</v>
      </c>
      <c r="C72" s="391"/>
      <c r="D72" s="339"/>
      <c r="E72" s="369" t="s">
        <v>183</v>
      </c>
      <c r="F72" s="80">
        <v>1094.40000345</v>
      </c>
      <c r="G72" s="80">
        <v>1335.5</v>
      </c>
      <c r="H72" s="80">
        <v>1942.6999922</v>
      </c>
    </row>
    <row r="73" spans="1:8" ht="14.4" customHeight="1">
      <c r="A73" s="382"/>
      <c r="B73" s="125" t="s">
        <v>204</v>
      </c>
      <c r="C73" s="391"/>
      <c r="D73" s="339"/>
      <c r="E73" s="377"/>
      <c r="F73" s="71">
        <v>0</v>
      </c>
      <c r="G73" s="71">
        <v>557.40000222999993</v>
      </c>
      <c r="H73" s="71">
        <v>808.00000301</v>
      </c>
    </row>
    <row r="74" spans="1:8" ht="14.4" customHeight="1">
      <c r="A74" s="382"/>
      <c r="B74" s="125" t="s">
        <v>398</v>
      </c>
      <c r="C74" s="391"/>
      <c r="D74" s="339"/>
      <c r="E74" s="377"/>
      <c r="F74" s="71">
        <v>5575.4000167400009</v>
      </c>
      <c r="G74" s="71">
        <v>9344.5999154900001</v>
      </c>
      <c r="H74" s="71">
        <v>14773.30010647</v>
      </c>
    </row>
    <row r="75" spans="1:8" ht="14.4" customHeight="1">
      <c r="A75" s="382"/>
      <c r="B75" s="125" t="s">
        <v>206</v>
      </c>
      <c r="C75" s="391"/>
      <c r="D75" s="339"/>
      <c r="E75" s="377"/>
      <c r="F75" s="71">
        <v>106502.00033415</v>
      </c>
      <c r="G75" s="71">
        <v>118242.90100556001</v>
      </c>
      <c r="H75" s="71">
        <v>138344.59939578004</v>
      </c>
    </row>
    <row r="76" spans="1:8" ht="14.4" customHeight="1">
      <c r="A76" s="382"/>
      <c r="B76" s="125" t="s">
        <v>226</v>
      </c>
      <c r="C76" s="391"/>
      <c r="D76" s="339"/>
      <c r="E76" s="377"/>
      <c r="F76" s="71">
        <v>162.69999944</v>
      </c>
      <c r="G76" s="71">
        <v>367.00000190000003</v>
      </c>
      <c r="H76" s="71">
        <v>6.5</v>
      </c>
    </row>
    <row r="77" spans="1:8" ht="14.4" customHeight="1">
      <c r="A77" s="382"/>
      <c r="B77" s="125" t="s">
        <v>207</v>
      </c>
      <c r="C77" s="391"/>
      <c r="D77" s="339"/>
      <c r="E77" s="377"/>
      <c r="F77" s="71">
        <v>167.49999944000001</v>
      </c>
      <c r="G77" s="71">
        <v>888.59999848999996</v>
      </c>
      <c r="H77" s="71">
        <v>11.1</v>
      </c>
    </row>
    <row r="78" spans="1:8" ht="14.4" customHeight="1">
      <c r="A78" s="382"/>
      <c r="B78" s="125" t="s">
        <v>399</v>
      </c>
      <c r="C78" s="391"/>
      <c r="D78" s="339"/>
      <c r="E78" s="377"/>
      <c r="F78" s="71">
        <v>310.30000544999996</v>
      </c>
      <c r="G78" s="71">
        <v>416.79999422000003</v>
      </c>
      <c r="H78" s="71">
        <v>2.8000000600000003</v>
      </c>
    </row>
    <row r="79" spans="1:8" ht="14.4" customHeight="1">
      <c r="A79" s="382"/>
      <c r="B79" s="125" t="s">
        <v>198</v>
      </c>
      <c r="C79" s="391"/>
      <c r="D79" s="339"/>
      <c r="E79" s="377"/>
      <c r="F79" s="71">
        <v>18300.099961749998</v>
      </c>
      <c r="G79" s="71">
        <v>24448.40029061</v>
      </c>
      <c r="H79" s="71">
        <v>50904.799786290001</v>
      </c>
    </row>
    <row r="80" spans="1:8" ht="14.4" customHeight="1">
      <c r="A80" s="382"/>
      <c r="B80" s="125" t="s">
        <v>400</v>
      </c>
      <c r="C80" s="391"/>
      <c r="D80" s="339"/>
      <c r="E80" s="377"/>
      <c r="F80" s="71">
        <v>2884.7999848200002</v>
      </c>
      <c r="G80" s="71">
        <v>5898.0999898999999</v>
      </c>
      <c r="H80" s="71">
        <v>728.09999671000003</v>
      </c>
    </row>
    <row r="81" spans="1:8" ht="14.4" customHeight="1">
      <c r="A81" s="382"/>
      <c r="B81" s="125" t="s">
        <v>401</v>
      </c>
      <c r="C81" s="391"/>
      <c r="D81" s="339"/>
      <c r="E81" s="377"/>
      <c r="F81" s="71">
        <v>0</v>
      </c>
      <c r="G81" s="71">
        <v>3392.1999436100004</v>
      </c>
      <c r="H81" s="71">
        <v>3720.60021972</v>
      </c>
    </row>
    <row r="82" spans="1:8" ht="14.4" customHeight="1">
      <c r="A82" s="382"/>
      <c r="B82" s="125" t="s">
        <v>211</v>
      </c>
      <c r="C82" s="391"/>
      <c r="D82" s="339"/>
      <c r="E82" s="377"/>
      <c r="F82" s="71">
        <v>81792.100572579991</v>
      </c>
      <c r="G82" s="71">
        <v>50137.300909999998</v>
      </c>
      <c r="H82" s="71">
        <v>11264.099990839999</v>
      </c>
    </row>
    <row r="83" spans="1:8" ht="14.4" customHeight="1">
      <c r="A83" s="382"/>
      <c r="B83" s="125" t="s">
        <v>402</v>
      </c>
      <c r="C83" s="391"/>
      <c r="D83" s="339"/>
      <c r="E83" s="377"/>
      <c r="F83" s="71">
        <v>0</v>
      </c>
      <c r="G83" s="71">
        <v>0</v>
      </c>
      <c r="H83" s="71">
        <v>1150.50000002</v>
      </c>
    </row>
    <row r="84" spans="1:8" ht="14.4" customHeight="1">
      <c r="A84" s="382"/>
      <c r="B84" s="125" t="s">
        <v>212</v>
      </c>
      <c r="C84" s="391"/>
      <c r="D84" s="339"/>
      <c r="E84" s="377"/>
      <c r="F84" s="71">
        <v>677.29999359999999</v>
      </c>
      <c r="G84" s="71">
        <v>1343.9999980699999</v>
      </c>
      <c r="H84" s="71">
        <v>954</v>
      </c>
    </row>
    <row r="85" spans="1:8" ht="14.4" customHeight="1">
      <c r="A85" s="382"/>
      <c r="B85" s="125" t="s">
        <v>403</v>
      </c>
      <c r="C85" s="391"/>
      <c r="D85" s="339"/>
      <c r="E85" s="377"/>
      <c r="F85" s="71">
        <v>9634.3999213999996</v>
      </c>
      <c r="G85" s="71">
        <v>21615.6002844</v>
      </c>
      <c r="H85" s="71">
        <v>19083.50035428</v>
      </c>
    </row>
    <row r="86" spans="1:8" ht="14.4" customHeight="1">
      <c r="A86" s="382"/>
      <c r="B86" s="125" t="s">
        <v>404</v>
      </c>
      <c r="C86" s="391"/>
      <c r="D86" s="339"/>
      <c r="E86" s="377"/>
      <c r="F86" s="71">
        <v>508.39999867</v>
      </c>
      <c r="G86" s="71">
        <v>2917.1000538499998</v>
      </c>
      <c r="H86" s="71">
        <v>24809.400207019997</v>
      </c>
    </row>
    <row r="87" spans="1:8" ht="14.4" customHeight="1">
      <c r="A87" s="382"/>
      <c r="B87" s="125" t="s">
        <v>405</v>
      </c>
      <c r="C87" s="391"/>
      <c r="D87" s="339"/>
      <c r="E87" s="377"/>
      <c r="F87" s="71">
        <v>1524.2999773200002</v>
      </c>
      <c r="G87" s="71">
        <v>2152.6000061099999</v>
      </c>
      <c r="H87" s="71">
        <v>4287.3999817700005</v>
      </c>
    </row>
    <row r="88" spans="1:8" ht="14.4" customHeight="1">
      <c r="A88" s="382"/>
      <c r="B88" s="125" t="s">
        <v>213</v>
      </c>
      <c r="C88" s="391"/>
      <c r="D88" s="339"/>
      <c r="E88" s="377"/>
      <c r="F88" s="71">
        <v>1632.7000009200001</v>
      </c>
      <c r="G88" s="71">
        <v>2292.3999836499997</v>
      </c>
      <c r="H88" s="71">
        <v>8236.0999681499998</v>
      </c>
    </row>
    <row r="89" spans="1:8" ht="14.4" customHeight="1">
      <c r="A89" s="382"/>
      <c r="B89" s="125" t="s">
        <v>214</v>
      </c>
      <c r="C89" s="391"/>
      <c r="D89" s="339"/>
      <c r="E89" s="377"/>
      <c r="F89" s="71">
        <v>1131.7000048299999</v>
      </c>
      <c r="G89" s="71">
        <v>2127.9999920200003</v>
      </c>
      <c r="H89" s="71">
        <v>5517.59986837</v>
      </c>
    </row>
    <row r="90" spans="1:8" ht="14.4" customHeight="1">
      <c r="A90" s="382"/>
      <c r="B90" s="125" t="s">
        <v>215</v>
      </c>
      <c r="C90" s="391"/>
      <c r="D90" s="339"/>
      <c r="E90" s="377"/>
      <c r="F90" s="71">
        <v>774.19999838000001</v>
      </c>
      <c r="G90" s="71">
        <v>2851.8999977100002</v>
      </c>
      <c r="H90" s="71">
        <v>0</v>
      </c>
    </row>
    <row r="91" spans="1:8" ht="14.4" customHeight="1">
      <c r="A91" s="382"/>
      <c r="B91" s="125" t="s">
        <v>216</v>
      </c>
      <c r="C91" s="391"/>
      <c r="D91" s="339"/>
      <c r="E91" s="377"/>
      <c r="F91" s="71">
        <v>1418.50002098</v>
      </c>
      <c r="G91" s="71">
        <v>4013.80000118</v>
      </c>
      <c r="H91" s="71">
        <v>8263.7999403699996</v>
      </c>
    </row>
    <row r="92" spans="1:8" ht="14.4" customHeight="1">
      <c r="A92" s="382"/>
      <c r="B92" s="125" t="s">
        <v>217</v>
      </c>
      <c r="C92" s="391"/>
      <c r="D92" s="339"/>
      <c r="E92" s="377"/>
      <c r="F92" s="71">
        <v>42367.800006860009</v>
      </c>
      <c r="G92" s="71">
        <v>137874.29851056999</v>
      </c>
      <c r="H92" s="71">
        <v>170178.50056744</v>
      </c>
    </row>
    <row r="93" spans="1:8" ht="14.4" customHeight="1">
      <c r="A93" s="382"/>
      <c r="B93" s="125" t="s">
        <v>406</v>
      </c>
      <c r="C93" s="391"/>
      <c r="D93" s="339"/>
      <c r="E93" s="377"/>
      <c r="F93" s="71">
        <v>1437</v>
      </c>
      <c r="G93" s="71">
        <v>0</v>
      </c>
      <c r="H93" s="71">
        <v>44427.299720759998</v>
      </c>
    </row>
    <row r="94" spans="1:8" ht="14.4" customHeight="1">
      <c r="A94" s="382"/>
      <c r="B94" s="125" t="s">
        <v>407</v>
      </c>
      <c r="C94" s="391"/>
      <c r="D94" s="339"/>
      <c r="E94" s="377"/>
      <c r="F94" s="71">
        <v>0</v>
      </c>
      <c r="G94" s="71">
        <v>3324.2000070899994</v>
      </c>
      <c r="H94" s="71">
        <v>3953.1999839700002</v>
      </c>
    </row>
    <row r="95" spans="1:8" ht="14.4" customHeight="1">
      <c r="A95" s="382"/>
      <c r="B95" s="125" t="s">
        <v>219</v>
      </c>
      <c r="C95" s="391"/>
      <c r="D95" s="339"/>
      <c r="E95" s="377"/>
      <c r="F95" s="71">
        <v>1692.1999936699999</v>
      </c>
      <c r="G95" s="71">
        <v>1027.80000032</v>
      </c>
      <c r="H95" s="71">
        <v>2638.8000650399999</v>
      </c>
    </row>
    <row r="96" spans="1:8" ht="14.4" customHeight="1">
      <c r="A96" s="382"/>
      <c r="B96" s="125" t="s">
        <v>408</v>
      </c>
      <c r="C96" s="391"/>
      <c r="D96" s="339"/>
      <c r="E96" s="377"/>
      <c r="F96" s="71">
        <v>0</v>
      </c>
      <c r="G96" s="71">
        <v>40676.200040819997</v>
      </c>
      <c r="H96" s="71">
        <v>91422.099733220006</v>
      </c>
    </row>
    <row r="97" spans="1:8" ht="14.4" customHeight="1">
      <c r="A97" s="382"/>
      <c r="B97" s="125" t="s">
        <v>409</v>
      </c>
      <c r="C97" s="391"/>
      <c r="D97" s="339"/>
      <c r="E97" s="377"/>
      <c r="F97" s="71">
        <v>18380.30006333</v>
      </c>
      <c r="G97" s="71">
        <v>25751.299730889998</v>
      </c>
      <c r="H97" s="71">
        <v>19235.00000733</v>
      </c>
    </row>
    <row r="98" spans="1:8" ht="14.4" customHeight="1">
      <c r="A98" s="382"/>
      <c r="B98" s="125" t="s">
        <v>410</v>
      </c>
      <c r="C98" s="391"/>
      <c r="D98" s="339"/>
      <c r="E98" s="377"/>
      <c r="F98" s="71">
        <v>0</v>
      </c>
      <c r="G98" s="71">
        <v>22874.999855039998</v>
      </c>
      <c r="H98" s="71">
        <v>20741.399906140003</v>
      </c>
    </row>
    <row r="99" spans="1:8" ht="14.4" customHeight="1">
      <c r="A99" s="382"/>
      <c r="B99" s="125" t="s">
        <v>221</v>
      </c>
      <c r="C99" s="391"/>
      <c r="D99" s="339"/>
      <c r="E99" s="377"/>
      <c r="F99" s="71">
        <v>348.09999977000001</v>
      </c>
      <c r="G99" s="71">
        <v>517.00000447999992</v>
      </c>
      <c r="H99" s="71">
        <v>28.80000004</v>
      </c>
    </row>
    <row r="100" spans="1:8" ht="14.4" customHeight="1">
      <c r="A100" s="382"/>
      <c r="B100" s="125" t="s">
        <v>411</v>
      </c>
      <c r="C100" s="391"/>
      <c r="D100" s="339"/>
      <c r="E100" s="377"/>
      <c r="F100" s="71">
        <v>0</v>
      </c>
      <c r="G100" s="71">
        <v>0</v>
      </c>
      <c r="H100" s="71">
        <v>580.70000075000007</v>
      </c>
    </row>
    <row r="101" spans="1:8" ht="14.4" customHeight="1">
      <c r="A101" s="382"/>
      <c r="B101" s="125" t="s">
        <v>412</v>
      </c>
      <c r="C101" s="391"/>
      <c r="D101" s="339"/>
      <c r="E101" s="377"/>
      <c r="F101" s="71">
        <v>102130.30036923</v>
      </c>
      <c r="G101" s="71">
        <v>136011.69934224</v>
      </c>
      <c r="H101" s="71">
        <v>195288.29903564</v>
      </c>
    </row>
    <row r="102" spans="1:8" ht="14.4" customHeight="1">
      <c r="A102" s="382"/>
      <c r="B102" s="125" t="s">
        <v>413</v>
      </c>
      <c r="C102" s="391"/>
      <c r="D102" s="339"/>
      <c r="E102" s="377"/>
      <c r="F102" s="71">
        <v>1247.90001809</v>
      </c>
      <c r="G102" s="71">
        <v>304.39999578999999</v>
      </c>
      <c r="H102" s="71">
        <v>5.5</v>
      </c>
    </row>
    <row r="103" spans="1:8" ht="14.4" customHeight="1">
      <c r="A103" s="382"/>
      <c r="B103" s="125" t="s">
        <v>203</v>
      </c>
      <c r="C103" s="391"/>
      <c r="D103" s="339"/>
      <c r="E103" s="377"/>
      <c r="F103" s="71">
        <v>0</v>
      </c>
      <c r="G103" s="71">
        <v>471.50000240000003</v>
      </c>
      <c r="H103" s="71">
        <v>524.59998607</v>
      </c>
    </row>
    <row r="104" spans="1:8" ht="14.4" customHeight="1">
      <c r="A104" s="382"/>
      <c r="B104" s="125" t="s">
        <v>414</v>
      </c>
      <c r="C104" s="391"/>
      <c r="D104" s="339"/>
      <c r="E104" s="377"/>
      <c r="F104" s="71" t="s">
        <v>108</v>
      </c>
      <c r="G104" s="71" t="s">
        <v>108</v>
      </c>
      <c r="H104" s="71">
        <v>5261.1000337499991</v>
      </c>
    </row>
    <row r="105" spans="1:8" ht="14.4" customHeight="1">
      <c r="A105" s="382"/>
      <c r="B105" s="125" t="s">
        <v>220</v>
      </c>
      <c r="C105" s="391"/>
      <c r="D105" s="339"/>
      <c r="E105" s="377"/>
      <c r="F105" s="71" t="s">
        <v>108</v>
      </c>
      <c r="G105" s="71" t="s">
        <v>108</v>
      </c>
      <c r="H105" s="71">
        <v>19818.999767049998</v>
      </c>
    </row>
    <row r="106" spans="1:8" ht="15" customHeight="1" thickBot="1">
      <c r="A106" s="389"/>
      <c r="B106" s="263" t="s">
        <v>202</v>
      </c>
      <c r="C106" s="391"/>
      <c r="D106" s="339"/>
      <c r="E106" s="379"/>
      <c r="F106" s="261" t="s">
        <v>108</v>
      </c>
      <c r="G106" s="261" t="s">
        <v>108</v>
      </c>
      <c r="H106" s="261">
        <v>13554.799995429998</v>
      </c>
    </row>
    <row r="107" spans="1:8" ht="15" customHeight="1" thickTop="1">
      <c r="A107" s="382" t="s">
        <v>223</v>
      </c>
      <c r="B107" s="264" t="s">
        <v>397</v>
      </c>
      <c r="C107" s="391"/>
      <c r="D107" s="339"/>
      <c r="E107" s="369" t="s">
        <v>185</v>
      </c>
      <c r="F107" s="83">
        <v>0.24595469257304975</v>
      </c>
      <c r="G107" s="83">
        <v>0.19560886987846368</v>
      </c>
      <c r="H107" s="83">
        <v>0.33945482503683294</v>
      </c>
    </row>
    <row r="108" spans="1:8" ht="14.4" customHeight="1">
      <c r="A108" s="382"/>
      <c r="B108" s="125" t="s">
        <v>204</v>
      </c>
      <c r="C108" s="391"/>
      <c r="D108" s="339"/>
      <c r="E108" s="377"/>
      <c r="F108" s="19">
        <v>0</v>
      </c>
      <c r="G108" s="19">
        <v>0.5562874254376815</v>
      </c>
      <c r="H108" s="19">
        <v>0.41201367201763539</v>
      </c>
    </row>
    <row r="109" spans="1:8" ht="14.4" customHeight="1">
      <c r="A109" s="382"/>
      <c r="B109" s="125" t="s">
        <v>398</v>
      </c>
      <c r="C109" s="391"/>
      <c r="D109" s="339"/>
      <c r="E109" s="377"/>
      <c r="F109" s="19">
        <v>0.93817729400924688</v>
      </c>
      <c r="G109" s="19">
        <v>0.7626999596733689</v>
      </c>
      <c r="H109" s="19">
        <v>0.87343621503292002</v>
      </c>
    </row>
    <row r="110" spans="1:8" ht="14.4" customHeight="1">
      <c r="A110" s="382"/>
      <c r="B110" s="125" t="s">
        <v>206</v>
      </c>
      <c r="C110" s="391"/>
      <c r="D110" s="339"/>
      <c r="E110" s="377"/>
      <c r="F110" s="19">
        <v>2.2815631861536025</v>
      </c>
      <c r="G110" s="19">
        <v>2.5736758032431282</v>
      </c>
      <c r="H110" s="19">
        <v>2.290208081935396</v>
      </c>
    </row>
    <row r="111" spans="1:8" ht="14.4" customHeight="1">
      <c r="A111" s="382"/>
      <c r="B111" s="125" t="s">
        <v>226</v>
      </c>
      <c r="C111" s="391"/>
      <c r="D111" s="339"/>
      <c r="E111" s="377"/>
      <c r="F111" s="19">
        <v>1.4037963689321893</v>
      </c>
      <c r="G111" s="19">
        <v>1.3572485248254285</v>
      </c>
      <c r="H111" s="19">
        <v>0.38235294117647056</v>
      </c>
    </row>
    <row r="112" spans="1:8" ht="14.4" customHeight="1">
      <c r="A112" s="382"/>
      <c r="B112" s="125" t="s">
        <v>207</v>
      </c>
      <c r="C112" s="391"/>
      <c r="D112" s="339"/>
      <c r="E112" s="377"/>
      <c r="F112" s="19">
        <v>0.9682080926065022</v>
      </c>
      <c r="G112" s="19">
        <v>1.2116171182382001</v>
      </c>
      <c r="H112" s="19">
        <v>0.83458645361524131</v>
      </c>
    </row>
    <row r="113" spans="1:8" ht="14.4" customHeight="1">
      <c r="A113" s="382"/>
      <c r="B113" s="125" t="s">
        <v>399</v>
      </c>
      <c r="C113" s="391"/>
      <c r="D113" s="339"/>
      <c r="E113" s="377"/>
      <c r="F113" s="19">
        <v>1.4657534533787149</v>
      </c>
      <c r="G113" s="19">
        <v>1.4717513806906146</v>
      </c>
      <c r="H113" s="19">
        <v>0.75675676274653036</v>
      </c>
    </row>
    <row r="114" spans="1:8" ht="14.4" customHeight="1">
      <c r="A114" s="382"/>
      <c r="B114" s="125" t="s">
        <v>198</v>
      </c>
      <c r="C114" s="391"/>
      <c r="D114" s="339"/>
      <c r="E114" s="377"/>
      <c r="F114" s="19">
        <v>6.7513096248015225</v>
      </c>
      <c r="G114" s="19">
        <v>5.6406802026080642</v>
      </c>
      <c r="H114" s="19">
        <v>17.342872887867781</v>
      </c>
    </row>
    <row r="115" spans="1:8" ht="14.4" customHeight="1">
      <c r="A115" s="382"/>
      <c r="B115" s="125" t="s">
        <v>400</v>
      </c>
      <c r="C115" s="391"/>
      <c r="D115" s="339"/>
      <c r="E115" s="377"/>
      <c r="F115" s="19">
        <v>1.5176767720904463</v>
      </c>
      <c r="G115" s="19">
        <v>2.1865870667145089</v>
      </c>
      <c r="H115" s="19">
        <v>1.3111831390536048</v>
      </c>
    </row>
    <row r="116" spans="1:8" ht="14.4" customHeight="1">
      <c r="A116" s="382"/>
      <c r="B116" s="125" t="s">
        <v>401</v>
      </c>
      <c r="C116" s="391"/>
      <c r="D116" s="339"/>
      <c r="E116" s="377"/>
      <c r="F116" s="19">
        <v>0</v>
      </c>
      <c r="G116" s="19">
        <v>1.3527675505626142</v>
      </c>
      <c r="H116" s="19">
        <v>1.8</v>
      </c>
    </row>
    <row r="117" spans="1:8" ht="14.4" customHeight="1">
      <c r="A117" s="382"/>
      <c r="B117" s="125" t="s">
        <v>211</v>
      </c>
      <c r="C117" s="391"/>
      <c r="D117" s="339"/>
      <c r="E117" s="377"/>
      <c r="F117" s="19">
        <v>14.860213495739682</v>
      </c>
      <c r="G117" s="19">
        <v>12.856047844247055</v>
      </c>
      <c r="H117" s="19">
        <v>15.620718248050949</v>
      </c>
    </row>
    <row r="118" spans="1:8" ht="14.4" customHeight="1">
      <c r="A118" s="382"/>
      <c r="B118" s="125" t="s">
        <v>402</v>
      </c>
      <c r="C118" s="391"/>
      <c r="D118" s="339"/>
      <c r="E118" s="377"/>
      <c r="F118" s="19">
        <v>0</v>
      </c>
      <c r="G118" s="19">
        <v>0</v>
      </c>
      <c r="H118" s="19">
        <v>0.3630024602530994</v>
      </c>
    </row>
    <row r="119" spans="1:8" ht="14.4" customHeight="1">
      <c r="A119" s="382"/>
      <c r="B119" s="125" t="s">
        <v>212</v>
      </c>
      <c r="C119" s="391"/>
      <c r="D119" s="339"/>
      <c r="E119" s="377"/>
      <c r="F119" s="19">
        <v>0.60668218310619371</v>
      </c>
      <c r="G119" s="19">
        <v>0.66096193946110726</v>
      </c>
      <c r="H119" s="19">
        <v>0.59476309226932667</v>
      </c>
    </row>
    <row r="120" spans="1:8" ht="14.4" customHeight="1">
      <c r="A120" s="382"/>
      <c r="B120" s="125" t="s">
        <v>403</v>
      </c>
      <c r="C120" s="391"/>
      <c r="D120" s="339"/>
      <c r="E120" s="377"/>
      <c r="F120" s="19">
        <v>3.8684600950256125</v>
      </c>
      <c r="G120" s="19">
        <v>6.7967174047386667</v>
      </c>
      <c r="H120" s="19">
        <v>3.0027221825165027</v>
      </c>
    </row>
    <row r="121" spans="1:8" ht="14.4" customHeight="1">
      <c r="A121" s="382"/>
      <c r="B121" s="125" t="s">
        <v>404</v>
      </c>
      <c r="C121" s="391"/>
      <c r="D121" s="339"/>
      <c r="E121" s="377"/>
      <c r="F121" s="19">
        <v>0.82385350313300187</v>
      </c>
      <c r="G121" s="19">
        <v>0.88523049506800622</v>
      </c>
      <c r="H121" s="19">
        <v>0.86220989478257781</v>
      </c>
    </row>
    <row r="122" spans="1:8" ht="14.4" customHeight="1">
      <c r="A122" s="382"/>
      <c r="B122" s="125" t="s">
        <v>405</v>
      </c>
      <c r="C122" s="391"/>
      <c r="D122" s="339"/>
      <c r="E122" s="377"/>
      <c r="F122" s="19">
        <v>0.94208898474660085</v>
      </c>
      <c r="G122" s="19">
        <v>1.0027951263130259</v>
      </c>
      <c r="H122" s="19">
        <v>1.1973636478775476</v>
      </c>
    </row>
    <row r="123" spans="1:8" ht="14.4" customHeight="1">
      <c r="A123" s="382"/>
      <c r="B123" s="125" t="s">
        <v>213</v>
      </c>
      <c r="C123" s="391"/>
      <c r="D123" s="339"/>
      <c r="E123" s="377"/>
      <c r="F123" s="19">
        <v>1.7777656784117446</v>
      </c>
      <c r="G123" s="19">
        <v>1.8546925466623645</v>
      </c>
      <c r="H123" s="19">
        <v>1.0918286126195986</v>
      </c>
    </row>
    <row r="124" spans="1:8" ht="14.4" customHeight="1">
      <c r="A124" s="382"/>
      <c r="B124" s="125" t="s">
        <v>214</v>
      </c>
      <c r="C124" s="391"/>
      <c r="D124" s="339"/>
      <c r="E124" s="377"/>
      <c r="F124" s="19">
        <v>1.4655529743889564</v>
      </c>
      <c r="G124" s="19">
        <v>1.1627779931755382</v>
      </c>
      <c r="H124" s="19">
        <v>1.1468240518108022</v>
      </c>
    </row>
    <row r="125" spans="1:8" ht="14.4" customHeight="1">
      <c r="A125" s="382"/>
      <c r="B125" s="125" t="s">
        <v>215</v>
      </c>
      <c r="C125" s="391"/>
      <c r="D125" s="339"/>
      <c r="E125" s="377"/>
      <c r="F125" s="19">
        <v>28.25547422843519</v>
      </c>
      <c r="G125" s="19">
        <v>30.698600631119035</v>
      </c>
      <c r="H125" s="19">
        <v>0</v>
      </c>
    </row>
    <row r="126" spans="1:8" ht="14.4" customHeight="1">
      <c r="A126" s="382"/>
      <c r="B126" s="125" t="s">
        <v>216</v>
      </c>
      <c r="C126" s="391"/>
      <c r="D126" s="339"/>
      <c r="E126" s="377"/>
      <c r="F126" s="19">
        <v>0.83060078974188978</v>
      </c>
      <c r="G126" s="19">
        <v>1.001372146422036</v>
      </c>
      <c r="H126" s="19">
        <v>1.0757354843320903</v>
      </c>
    </row>
    <row r="127" spans="1:8" ht="14.4" customHeight="1">
      <c r="A127" s="382"/>
      <c r="B127" s="125" t="s">
        <v>217</v>
      </c>
      <c r="C127" s="391"/>
      <c r="D127" s="339"/>
      <c r="E127" s="377"/>
      <c r="F127" s="19">
        <v>7.7338907264756651</v>
      </c>
      <c r="G127" s="19">
        <v>13.158078877201692</v>
      </c>
      <c r="H127" s="19">
        <v>17.686028242164721</v>
      </c>
    </row>
    <row r="128" spans="1:8" ht="14.4" customHeight="1">
      <c r="A128" s="382"/>
      <c r="B128" s="125" t="s">
        <v>406</v>
      </c>
      <c r="C128" s="391"/>
      <c r="D128" s="339"/>
      <c r="E128" s="377"/>
      <c r="F128" s="19">
        <v>2.504356972077725</v>
      </c>
      <c r="G128" s="19">
        <v>0</v>
      </c>
      <c r="H128" s="19">
        <v>24.651702786351258</v>
      </c>
    </row>
    <row r="129" spans="1:8" ht="14.4" customHeight="1">
      <c r="A129" s="382"/>
      <c r="B129" s="125" t="s">
        <v>407</v>
      </c>
      <c r="C129" s="391"/>
      <c r="D129" s="339"/>
      <c r="E129" s="377"/>
      <c r="F129" s="19">
        <v>0</v>
      </c>
      <c r="G129" s="19">
        <v>1.0316553901641157</v>
      </c>
      <c r="H129" s="19">
        <v>4.1595117374904929</v>
      </c>
    </row>
    <row r="130" spans="1:8" ht="14.4" customHeight="1">
      <c r="A130" s="382"/>
      <c r="B130" s="125" t="s">
        <v>219</v>
      </c>
      <c r="C130" s="391"/>
      <c r="D130" s="339"/>
      <c r="E130" s="377"/>
      <c r="F130" s="19">
        <v>0.28786744694689437</v>
      </c>
      <c r="G130" s="19">
        <v>0.55130611452874001</v>
      </c>
      <c r="H130" s="19">
        <v>1.7042108469728288</v>
      </c>
    </row>
    <row r="131" spans="1:8" ht="14.4" customHeight="1">
      <c r="A131" s="382"/>
      <c r="B131" s="125" t="s">
        <v>408</v>
      </c>
      <c r="C131" s="391"/>
      <c r="D131" s="339"/>
      <c r="E131" s="377"/>
      <c r="F131" s="19">
        <v>0</v>
      </c>
      <c r="G131" s="19">
        <v>0.88283349604967509</v>
      </c>
      <c r="H131" s="19">
        <v>31.539000281432394</v>
      </c>
    </row>
    <row r="132" spans="1:8" ht="14.4" customHeight="1">
      <c r="A132" s="382"/>
      <c r="B132" s="125" t="s">
        <v>409</v>
      </c>
      <c r="C132" s="391"/>
      <c r="D132" s="339"/>
      <c r="E132" s="377"/>
      <c r="F132" s="19">
        <v>0.97206548171576712</v>
      </c>
      <c r="G132" s="19">
        <v>1.2858933193309769</v>
      </c>
      <c r="H132" s="19">
        <v>0.92718009704550819</v>
      </c>
    </row>
    <row r="133" spans="1:8" ht="14.4" customHeight="1">
      <c r="A133" s="382"/>
      <c r="B133" s="125" t="s">
        <v>410</v>
      </c>
      <c r="C133" s="391"/>
      <c r="D133" s="339"/>
      <c r="E133" s="377"/>
      <c r="F133" s="19">
        <v>0</v>
      </c>
      <c r="G133" s="19">
        <v>12.4098083451567</v>
      </c>
      <c r="H133" s="19">
        <v>6.8210339043402097</v>
      </c>
    </row>
    <row r="134" spans="1:8" ht="14.4" customHeight="1">
      <c r="A134" s="382"/>
      <c r="B134" s="125" t="s">
        <v>221</v>
      </c>
      <c r="C134" s="391"/>
      <c r="D134" s="339"/>
      <c r="E134" s="377"/>
      <c r="F134" s="19">
        <v>0.86163364731321712</v>
      </c>
      <c r="G134" s="19">
        <v>1.0366954083549491</v>
      </c>
      <c r="H134" s="19">
        <v>0.57831325741520301</v>
      </c>
    </row>
    <row r="135" spans="1:8" ht="14.4" customHeight="1">
      <c r="A135" s="382"/>
      <c r="B135" s="125" t="s">
        <v>411</v>
      </c>
      <c r="C135" s="391"/>
      <c r="D135" s="339"/>
      <c r="E135" s="377"/>
      <c r="F135" s="19">
        <v>0</v>
      </c>
      <c r="G135" s="19">
        <v>0</v>
      </c>
      <c r="H135" s="19">
        <v>6.5690044642627354</v>
      </c>
    </row>
    <row r="136" spans="1:8" ht="14.4" customHeight="1">
      <c r="A136" s="382"/>
      <c r="B136" s="125" t="s">
        <v>412</v>
      </c>
      <c r="C136" s="391"/>
      <c r="D136" s="339"/>
      <c r="E136" s="377"/>
      <c r="F136" s="19">
        <v>15.043940091790564</v>
      </c>
      <c r="G136" s="19">
        <v>16.317748604905066</v>
      </c>
      <c r="H136" s="19">
        <v>25.724938691859467</v>
      </c>
    </row>
    <row r="137" spans="1:8" ht="14.4" customHeight="1">
      <c r="A137" s="382"/>
      <c r="B137" s="125" t="s">
        <v>413</v>
      </c>
      <c r="C137" s="391"/>
      <c r="D137" s="339"/>
      <c r="E137" s="377"/>
      <c r="F137" s="19">
        <v>0.90218335819054474</v>
      </c>
      <c r="G137" s="19">
        <v>0.90460623457330402</v>
      </c>
      <c r="H137" s="19">
        <v>0.63218392185229255</v>
      </c>
    </row>
    <row r="138" spans="1:8" ht="14.4" customHeight="1">
      <c r="A138" s="382"/>
      <c r="B138" s="125" t="s">
        <v>203</v>
      </c>
      <c r="C138" s="391"/>
      <c r="D138" s="339"/>
      <c r="E138" s="377"/>
      <c r="F138" s="19">
        <v>0</v>
      </c>
      <c r="G138" s="19">
        <v>0.65879559025872514</v>
      </c>
      <c r="H138" s="19">
        <v>0.81637097793535218</v>
      </c>
    </row>
    <row r="139" spans="1:8" ht="14.4" customHeight="1">
      <c r="A139" s="382"/>
      <c r="B139" s="125" t="s">
        <v>414</v>
      </c>
      <c r="C139" s="391"/>
      <c r="D139" s="339"/>
      <c r="E139" s="377"/>
      <c r="F139" s="19">
        <v>0</v>
      </c>
      <c r="G139" s="19">
        <v>0</v>
      </c>
      <c r="H139" s="19">
        <v>15.676698698713848</v>
      </c>
    </row>
    <row r="140" spans="1:8" ht="14.4" customHeight="1">
      <c r="A140" s="382"/>
      <c r="B140" s="125" t="s">
        <v>220</v>
      </c>
      <c r="C140" s="391"/>
      <c r="D140" s="339"/>
      <c r="E140" s="377"/>
      <c r="F140" s="19">
        <v>0</v>
      </c>
      <c r="G140" s="19">
        <v>0</v>
      </c>
      <c r="H140" s="19">
        <v>18</v>
      </c>
    </row>
    <row r="141" spans="1:8" ht="15" customHeight="1" thickBot="1">
      <c r="A141" s="389"/>
      <c r="B141" s="265" t="s">
        <v>202</v>
      </c>
      <c r="C141" s="441"/>
      <c r="D141" s="440"/>
      <c r="E141" s="379"/>
      <c r="F141" s="266">
        <v>0</v>
      </c>
      <c r="G141" s="266">
        <v>0</v>
      </c>
      <c r="H141" s="266">
        <v>7.8533023937782049</v>
      </c>
    </row>
    <row r="142" spans="1:8" ht="14.4" thickTop="1"/>
    <row r="144" spans="1:8" ht="14.4" thickBot="1">
      <c r="A144" s="1" t="s">
        <v>224</v>
      </c>
    </row>
    <row r="145" spans="1:8" ht="14.4" thickBot="1">
      <c r="B145" s="4" t="s">
        <v>196</v>
      </c>
      <c r="C145" s="4" t="s">
        <v>20</v>
      </c>
      <c r="D145" s="101" t="s">
        <v>21</v>
      </c>
      <c r="E145" s="4" t="s">
        <v>22</v>
      </c>
      <c r="F145" s="4">
        <v>2010</v>
      </c>
      <c r="G145" s="4">
        <v>2017</v>
      </c>
      <c r="H145" s="4">
        <v>2020</v>
      </c>
    </row>
    <row r="146" spans="1:8" ht="15" thickTop="1" thickBot="1">
      <c r="A146" s="356" t="s">
        <v>197</v>
      </c>
      <c r="B146" s="267" t="s">
        <v>206</v>
      </c>
      <c r="C146" s="390" t="s">
        <v>199</v>
      </c>
      <c r="D146" s="341" t="s">
        <v>200</v>
      </c>
      <c r="E146" s="377" t="s">
        <v>171</v>
      </c>
      <c r="F146" s="71">
        <v>126.19999981000001</v>
      </c>
      <c r="G146" s="71">
        <v>58.199999810000001</v>
      </c>
      <c r="H146" s="71">
        <v>582.09999083999992</v>
      </c>
    </row>
    <row r="147" spans="1:8" ht="15.6" customHeight="1" thickTop="1" thickBot="1">
      <c r="A147" s="356"/>
      <c r="B147" s="267" t="s">
        <v>212</v>
      </c>
      <c r="C147" s="391"/>
      <c r="D147" s="339"/>
      <c r="E147" s="377"/>
      <c r="F147" s="71">
        <v>24.899999620000003</v>
      </c>
      <c r="G147" s="71">
        <v>8.1999998099999996</v>
      </c>
      <c r="H147" s="71">
        <v>16.199999810000001</v>
      </c>
    </row>
    <row r="148" spans="1:8" ht="15.6" customHeight="1" thickTop="1" thickBot="1">
      <c r="A148" s="356"/>
      <c r="B148" s="267" t="s">
        <v>403</v>
      </c>
      <c r="C148" s="391"/>
      <c r="D148" s="339"/>
      <c r="E148" s="377"/>
      <c r="F148" s="71">
        <v>1381.6999821600002</v>
      </c>
      <c r="G148" s="71">
        <v>941.59998703000008</v>
      </c>
      <c r="H148" s="71">
        <v>1177.00002479</v>
      </c>
    </row>
    <row r="149" spans="1:8" ht="15.6" customHeight="1" thickTop="1" thickBot="1">
      <c r="A149" s="356"/>
      <c r="B149" s="267" t="s">
        <v>215</v>
      </c>
      <c r="C149" s="391"/>
      <c r="D149" s="339"/>
      <c r="E149" s="377"/>
      <c r="F149" s="71">
        <v>62.899999139999998</v>
      </c>
      <c r="G149" s="71">
        <v>0.8</v>
      </c>
      <c r="H149" s="71">
        <v>0</v>
      </c>
    </row>
    <row r="150" spans="1:8" ht="15.6" customHeight="1" thickTop="1" thickBot="1">
      <c r="A150" s="356"/>
      <c r="B150" s="268" t="s">
        <v>219</v>
      </c>
      <c r="C150" s="391"/>
      <c r="D150" s="339"/>
      <c r="E150" s="378"/>
      <c r="F150" s="92">
        <v>12.9000001</v>
      </c>
      <c r="G150" s="92">
        <v>7.4000001500000003</v>
      </c>
      <c r="H150" s="92">
        <v>31.5</v>
      </c>
    </row>
    <row r="151" spans="1:8" ht="15.6" customHeight="1" thickTop="1" thickBot="1">
      <c r="A151" s="356" t="s">
        <v>222</v>
      </c>
      <c r="B151" s="269" t="s">
        <v>206</v>
      </c>
      <c r="C151" s="391"/>
      <c r="D151" s="339"/>
      <c r="E151" s="369" t="s">
        <v>183</v>
      </c>
      <c r="F151" s="80">
        <v>978.19999696000002</v>
      </c>
      <c r="G151" s="80">
        <v>458.59999847</v>
      </c>
      <c r="H151" s="80">
        <v>4946.5998535100007</v>
      </c>
    </row>
    <row r="152" spans="1:8" ht="15.6" customHeight="1" thickTop="1" thickBot="1">
      <c r="A152" s="356"/>
      <c r="B152" s="267" t="s">
        <v>212</v>
      </c>
      <c r="C152" s="391"/>
      <c r="D152" s="339"/>
      <c r="E152" s="377"/>
      <c r="F152" s="71">
        <v>26.500000239999999</v>
      </c>
      <c r="G152" s="71">
        <v>9.7000000499999999</v>
      </c>
      <c r="H152" s="71">
        <v>8.6999998000000005</v>
      </c>
    </row>
    <row r="153" spans="1:8" ht="15.6" customHeight="1" thickTop="1" thickBot="1">
      <c r="A153" s="356"/>
      <c r="B153" s="267" t="s">
        <v>403</v>
      </c>
      <c r="C153" s="391"/>
      <c r="D153" s="339"/>
      <c r="E153" s="377"/>
      <c r="F153" s="71">
        <v>7746.0998696500001</v>
      </c>
      <c r="G153" s="71">
        <v>6534.7999877900002</v>
      </c>
      <c r="H153" s="71">
        <v>11237.69961548</v>
      </c>
    </row>
    <row r="154" spans="1:8" ht="15.6" customHeight="1" thickTop="1" thickBot="1">
      <c r="A154" s="356"/>
      <c r="B154" s="267" t="s">
        <v>215</v>
      </c>
      <c r="C154" s="391"/>
      <c r="D154" s="339"/>
      <c r="E154" s="377"/>
      <c r="F154" s="71">
        <v>1088.2000198399999</v>
      </c>
      <c r="G154" s="71">
        <v>33.900000089999999</v>
      </c>
      <c r="H154" s="71">
        <v>0</v>
      </c>
    </row>
    <row r="155" spans="1:8" ht="15.6" customHeight="1" thickTop="1" thickBot="1">
      <c r="A155" s="356"/>
      <c r="B155" s="270" t="s">
        <v>219</v>
      </c>
      <c r="C155" s="391"/>
      <c r="D155" s="339"/>
      <c r="E155" s="378"/>
      <c r="F155" s="92">
        <v>36.899999629999996</v>
      </c>
      <c r="G155" s="92">
        <v>16.29999995</v>
      </c>
      <c r="H155" s="92">
        <v>79.799999240000005</v>
      </c>
    </row>
    <row r="156" spans="1:8" ht="15.6" customHeight="1" thickTop="1" thickBot="1">
      <c r="A156" s="356" t="s">
        <v>223</v>
      </c>
      <c r="B156" s="271" t="s">
        <v>206</v>
      </c>
      <c r="C156" s="391"/>
      <c r="D156" s="339"/>
      <c r="E156" s="369" t="s">
        <v>185</v>
      </c>
      <c r="F156" s="83">
        <v>7.7511885771214404</v>
      </c>
      <c r="G156" s="83">
        <v>7.8797250853461813</v>
      </c>
      <c r="H156" s="83">
        <v>8.4978524847110979</v>
      </c>
    </row>
    <row r="157" spans="1:8" ht="15.6" customHeight="1" thickTop="1" thickBot="1">
      <c r="A157" s="356"/>
      <c r="B157" s="267" t="s">
        <v>212</v>
      </c>
      <c r="C157" s="391"/>
      <c r="D157" s="339"/>
      <c r="E157" s="377"/>
      <c r="F157" s="19">
        <v>1.0642570539926777</v>
      </c>
      <c r="G157" s="19">
        <v>1.1829268627751346</v>
      </c>
      <c r="H157" s="19">
        <v>0.53703703098994049</v>
      </c>
    </row>
    <row r="158" spans="1:8" ht="15.6" customHeight="1" thickTop="1" thickBot="1">
      <c r="A158" s="356"/>
      <c r="B158" s="267" t="s">
        <v>403</v>
      </c>
      <c r="C158" s="391"/>
      <c r="D158" s="339"/>
      <c r="E158" s="377"/>
      <c r="F158" s="19">
        <v>5.6062097196676417</v>
      </c>
      <c r="G158" s="19">
        <v>6.9401020367492814</v>
      </c>
      <c r="H158" s="19">
        <v>9.5477479853792069</v>
      </c>
    </row>
    <row r="159" spans="1:8" ht="15.6" customHeight="1" thickTop="1" thickBot="1">
      <c r="A159" s="356"/>
      <c r="B159" s="267" t="s">
        <v>215</v>
      </c>
      <c r="C159" s="391"/>
      <c r="D159" s="339"/>
      <c r="E159" s="377"/>
      <c r="F159" s="19">
        <v>17.300477499497784</v>
      </c>
      <c r="G159" s="19">
        <v>42.375000112499997</v>
      </c>
      <c r="H159" s="19">
        <v>0</v>
      </c>
    </row>
    <row r="160" spans="1:8" ht="15.6" customHeight="1" thickTop="1" thickBot="1">
      <c r="A160" s="356"/>
      <c r="B160" s="267" t="s">
        <v>219</v>
      </c>
      <c r="C160" s="439"/>
      <c r="D160" s="340"/>
      <c r="E160" s="377"/>
      <c r="F160" s="19">
        <v>2.8604650654227513</v>
      </c>
      <c r="G160" s="19">
        <v>2.2027026512965677</v>
      </c>
      <c r="H160" s="19">
        <v>2.5333333092063492</v>
      </c>
    </row>
    <row r="161" spans="1:12" ht="14.4" thickTop="1"/>
    <row r="163" spans="1:12" ht="14.4" thickBot="1">
      <c r="A163" s="1" t="s">
        <v>228</v>
      </c>
    </row>
    <row r="164" spans="1:12" ht="14.4" thickBot="1">
      <c r="B164" s="4" t="s">
        <v>229</v>
      </c>
      <c r="C164" s="4" t="s">
        <v>230</v>
      </c>
      <c r="D164" s="101" t="s">
        <v>21</v>
      </c>
      <c r="E164" s="4" t="s">
        <v>22</v>
      </c>
      <c r="F164" s="4">
        <v>2016</v>
      </c>
      <c r="G164" s="4">
        <f t="shared" ref="G164:L164" si="0">F164+1</f>
        <v>2017</v>
      </c>
      <c r="H164" s="4">
        <f t="shared" si="0"/>
        <v>2018</v>
      </c>
      <c r="I164" s="4">
        <f t="shared" si="0"/>
        <v>2019</v>
      </c>
      <c r="J164" s="4">
        <f t="shared" si="0"/>
        <v>2020</v>
      </c>
      <c r="K164" s="4">
        <f t="shared" si="0"/>
        <v>2021</v>
      </c>
      <c r="L164" s="4">
        <f t="shared" si="0"/>
        <v>2022</v>
      </c>
    </row>
    <row r="165" spans="1:12">
      <c r="A165" s="431" t="s">
        <v>231</v>
      </c>
      <c r="B165" s="91" t="s">
        <v>232</v>
      </c>
      <c r="C165" s="362" t="s">
        <v>233</v>
      </c>
      <c r="D165" s="365" t="s">
        <v>234</v>
      </c>
      <c r="E165" s="368" t="s">
        <v>112</v>
      </c>
      <c r="F165" s="272">
        <v>0.37219220643692336</v>
      </c>
      <c r="G165" s="272">
        <v>0.37139861964281479</v>
      </c>
      <c r="H165" s="272">
        <v>0.37099048929155898</v>
      </c>
      <c r="I165" s="272">
        <v>0.37305381495624129</v>
      </c>
      <c r="J165" s="272">
        <v>0.37035561985627208</v>
      </c>
      <c r="K165" s="272">
        <v>0.37028759813106282</v>
      </c>
      <c r="L165" s="272">
        <v>0.37235092379574508</v>
      </c>
    </row>
    <row r="166" spans="1:12">
      <c r="A166" s="432"/>
      <c r="B166" s="90" t="s">
        <v>235</v>
      </c>
      <c r="C166" s="363"/>
      <c r="D166" s="366"/>
      <c r="E166" s="368"/>
      <c r="F166" s="272">
        <v>4.4917012546545551E-2</v>
      </c>
      <c r="G166" s="272">
        <v>4.4917012546545551E-2</v>
      </c>
      <c r="H166" s="272">
        <v>4.4780969096126937E-2</v>
      </c>
      <c r="I166" s="272">
        <v>4.4894338638142448E-2</v>
      </c>
      <c r="J166" s="272">
        <v>4.4780969096126937E-2</v>
      </c>
      <c r="K166" s="272">
        <v>4.4758295187723833E-2</v>
      </c>
      <c r="L166" s="272">
        <v>4.4758295187723833E-2</v>
      </c>
    </row>
    <row r="167" spans="1:12">
      <c r="A167" s="432"/>
      <c r="B167" s="90" t="s">
        <v>236</v>
      </c>
      <c r="C167" s="363"/>
      <c r="D167" s="366"/>
      <c r="E167" s="368"/>
      <c r="F167" s="272">
        <v>2.7616820434978536E-2</v>
      </c>
      <c r="G167" s="272">
        <v>2.7571472618172329E-2</v>
      </c>
      <c r="H167" s="272">
        <v>2.6664516282048242E-2</v>
      </c>
      <c r="I167" s="272">
        <v>2.7571472618172329E-2</v>
      </c>
      <c r="J167" s="272">
        <v>2.6505798923226524E-2</v>
      </c>
      <c r="K167" s="272">
        <v>2.6505798923226524E-2</v>
      </c>
      <c r="L167" s="272">
        <v>2.6800559732466853E-2</v>
      </c>
    </row>
    <row r="168" spans="1:12" ht="14.4" thickBot="1">
      <c r="A168" s="433"/>
      <c r="B168" s="103" t="s">
        <v>237</v>
      </c>
      <c r="C168" s="363"/>
      <c r="D168" s="366"/>
      <c r="E168" s="368"/>
      <c r="F168" s="273">
        <v>2.4442473258544224E-2</v>
      </c>
      <c r="G168" s="273">
        <v>2.4238408082916302E-2</v>
      </c>
      <c r="H168" s="273">
        <v>2.3558190830823233E-2</v>
      </c>
      <c r="I168" s="273">
        <v>2.4283755899722505E-2</v>
      </c>
      <c r="J168" s="273">
        <v>2.3467495197210822E-2</v>
      </c>
      <c r="K168" s="273">
        <v>2.3467495197210822E-2</v>
      </c>
      <c r="L168" s="273">
        <v>2.3535516922420133E-2</v>
      </c>
    </row>
    <row r="169" spans="1:12" ht="14.4" thickBot="1">
      <c r="A169" s="434" t="s">
        <v>238</v>
      </c>
      <c r="B169" s="105" t="s">
        <v>239</v>
      </c>
      <c r="C169" s="363"/>
      <c r="D169" s="366"/>
      <c r="E169" s="368"/>
      <c r="F169" s="274">
        <v>6.3486943528686291E-4</v>
      </c>
      <c r="G169" s="274">
        <v>6.3486943528686291E-4</v>
      </c>
      <c r="H169" s="274">
        <v>6.3486943528686291E-4</v>
      </c>
      <c r="I169" s="274">
        <v>6.8021725209306745E-4</v>
      </c>
      <c r="J169" s="274">
        <v>6.3486943528686291E-4</v>
      </c>
      <c r="K169" s="274">
        <v>6.3486943528686291E-4</v>
      </c>
      <c r="L169" s="274">
        <v>6.3486943528686291E-4</v>
      </c>
    </row>
    <row r="170" spans="1:12">
      <c r="A170" s="435"/>
      <c r="B170" s="107" t="s">
        <v>240</v>
      </c>
      <c r="C170" s="363"/>
      <c r="D170" s="366"/>
      <c r="E170" s="368"/>
      <c r="F170" s="272">
        <v>0.44683471289993598</v>
      </c>
      <c r="G170" s="272">
        <v>0.44769632141925386</v>
      </c>
      <c r="H170" s="272">
        <v>0.44715214761757938</v>
      </c>
      <c r="I170" s="272">
        <v>0.45227645091668051</v>
      </c>
      <c r="J170" s="272">
        <v>0.44794573441168795</v>
      </c>
      <c r="K170" s="272">
        <v>0.44794573441168795</v>
      </c>
      <c r="L170" s="272">
        <v>0.44527021322012189</v>
      </c>
    </row>
    <row r="171" spans="1:12" ht="14.4" thickBot="1">
      <c r="A171" s="435"/>
      <c r="B171" s="108" t="s">
        <v>241</v>
      </c>
      <c r="C171" s="363"/>
      <c r="D171" s="366"/>
      <c r="E171" s="368"/>
      <c r="F171" s="272">
        <v>1.3853758034295472E-2</v>
      </c>
      <c r="G171" s="272">
        <v>1.4012475393117188E-2</v>
      </c>
      <c r="H171" s="272">
        <v>1.4103171026729597E-2</v>
      </c>
      <c r="I171" s="272">
        <v>1.4420605744373028E-2</v>
      </c>
      <c r="J171" s="272">
        <v>1.4329910110760619E-2</v>
      </c>
      <c r="K171" s="272">
        <v>1.4216540568745108E-2</v>
      </c>
      <c r="L171" s="272">
        <v>1.4171192751938903E-2</v>
      </c>
    </row>
    <row r="172" spans="1:12" ht="14.4" thickBot="1">
      <c r="A172" s="435"/>
      <c r="B172" s="108" t="s">
        <v>242</v>
      </c>
      <c r="C172" s="363"/>
      <c r="D172" s="366"/>
      <c r="E172" s="368"/>
      <c r="F172" s="272">
        <v>2.2673908403102246E-5</v>
      </c>
      <c r="G172" s="272">
        <v>2.2673908403102246E-5</v>
      </c>
      <c r="H172" s="272">
        <v>2.2673908403102246E-5</v>
      </c>
      <c r="I172" s="272">
        <v>0</v>
      </c>
      <c r="J172" s="272">
        <v>2.2673908403102246E-5</v>
      </c>
      <c r="K172" s="272">
        <v>4.5347816806204492E-5</v>
      </c>
      <c r="L172" s="272">
        <v>4.5347816806204492E-5</v>
      </c>
    </row>
    <row r="173" spans="1:12" ht="14.4" thickBot="1">
      <c r="A173" s="436"/>
      <c r="B173" s="109" t="s">
        <v>243</v>
      </c>
      <c r="C173" s="363"/>
      <c r="D173" s="366"/>
      <c r="E173" s="368"/>
      <c r="F173" s="273">
        <v>0</v>
      </c>
      <c r="G173" s="273">
        <v>0</v>
      </c>
      <c r="H173" s="273">
        <v>0</v>
      </c>
      <c r="I173" s="273">
        <v>0</v>
      </c>
      <c r="J173" s="273">
        <v>0</v>
      </c>
      <c r="K173" s="273">
        <v>0</v>
      </c>
      <c r="L173" s="273">
        <v>0</v>
      </c>
    </row>
    <row r="174" spans="1:12" ht="14.4" thickBot="1">
      <c r="A174" s="437" t="s">
        <v>244</v>
      </c>
      <c r="B174" s="105" t="s">
        <v>245</v>
      </c>
      <c r="C174" s="363"/>
      <c r="D174" s="366"/>
      <c r="E174" s="368"/>
      <c r="F174" s="274">
        <v>2.1086734814885089E-3</v>
      </c>
      <c r="G174" s="274">
        <v>2.1086734814885089E-3</v>
      </c>
      <c r="H174" s="274">
        <v>2.1313473898916108E-3</v>
      </c>
      <c r="I174" s="274">
        <v>2.1766952066978153E-3</v>
      </c>
      <c r="J174" s="274">
        <v>2.1540212982947135E-3</v>
      </c>
      <c r="K174" s="274">
        <v>2.1540212982947135E-3</v>
      </c>
      <c r="L174" s="274">
        <v>2.1540212982947135E-3</v>
      </c>
    </row>
    <row r="175" spans="1:12" ht="14.4" thickBot="1">
      <c r="A175" s="438"/>
      <c r="B175" s="91" t="s">
        <v>246</v>
      </c>
      <c r="C175" s="363"/>
      <c r="D175" s="366"/>
      <c r="E175" s="368"/>
      <c r="F175" s="273">
        <v>6.8475203377368786E-3</v>
      </c>
      <c r="G175" s="273">
        <v>6.8475203377368786E-3</v>
      </c>
      <c r="H175" s="273">
        <v>6.9608898797523895E-3</v>
      </c>
      <c r="I175" s="273">
        <v>6.4847378032872422E-3</v>
      </c>
      <c r="J175" s="273">
        <v>7.0742594217679004E-3</v>
      </c>
      <c r="K175" s="273">
        <v>7.0742594217679004E-3</v>
      </c>
      <c r="L175" s="273">
        <v>7.0969333301710031E-3</v>
      </c>
    </row>
    <row r="176" spans="1:12" ht="24.6" thickBot="1">
      <c r="A176" s="275" t="s">
        <v>247</v>
      </c>
      <c r="B176" s="111" t="s">
        <v>248</v>
      </c>
      <c r="C176" s="363"/>
      <c r="D176" s="366"/>
      <c r="E176" s="368"/>
      <c r="F176" s="276">
        <v>6.1219552688376064E-4</v>
      </c>
      <c r="G176" s="276">
        <v>6.1219552688376064E-4</v>
      </c>
      <c r="H176" s="276">
        <v>6.1219552688376064E-4</v>
      </c>
      <c r="I176" s="276">
        <v>6.1219552688376064E-4</v>
      </c>
      <c r="J176" s="276">
        <v>6.1219552688376064E-4</v>
      </c>
      <c r="K176" s="276">
        <v>6.1219552688376064E-4</v>
      </c>
      <c r="L176" s="276">
        <v>6.1219552688376064E-4</v>
      </c>
    </row>
    <row r="177" spans="1:18" ht="14.4" thickBot="1">
      <c r="A177" s="277" t="s">
        <v>249</v>
      </c>
      <c r="B177" s="113" t="s">
        <v>18</v>
      </c>
      <c r="C177" s="363"/>
      <c r="D177" s="366"/>
      <c r="E177" s="368"/>
      <c r="F177" s="278">
        <v>3.1743471764343145E-4</v>
      </c>
      <c r="G177" s="278">
        <v>3.1743471764343145E-4</v>
      </c>
      <c r="H177" s="278">
        <v>3.4010862604653372E-4</v>
      </c>
      <c r="I177" s="278">
        <v>3.6278253444963594E-4</v>
      </c>
      <c r="J177" s="278">
        <v>3.8545644285273815E-4</v>
      </c>
      <c r="K177" s="278">
        <v>5.668477100775562E-4</v>
      </c>
      <c r="L177" s="278">
        <v>7.0289116049616961E-4</v>
      </c>
    </row>
    <row r="178" spans="1:18">
      <c r="A178" s="434" t="s">
        <v>250</v>
      </c>
      <c r="B178" s="115" t="s">
        <v>251</v>
      </c>
      <c r="C178" s="363"/>
      <c r="D178" s="366"/>
      <c r="E178" s="368"/>
      <c r="F178" s="274">
        <v>4.7388468562483695E-2</v>
      </c>
      <c r="G178" s="274">
        <v>4.7184403386855776E-2</v>
      </c>
      <c r="H178" s="274">
        <v>4.7955316272561249E-2</v>
      </c>
      <c r="I178" s="274">
        <v>4.759253373811162E-2</v>
      </c>
      <c r="J178" s="274">
        <v>4.768322937172402E-2</v>
      </c>
      <c r="K178" s="274">
        <v>4.768322937172402E-2</v>
      </c>
      <c r="L178" s="274">
        <v>4.7819272822142635E-2</v>
      </c>
    </row>
    <row r="179" spans="1:18" ht="14.4" thickBot="1">
      <c r="A179" s="435"/>
      <c r="B179" s="108" t="s">
        <v>252</v>
      </c>
      <c r="C179" s="363"/>
      <c r="D179" s="366"/>
      <c r="E179" s="368"/>
      <c r="F179" s="272">
        <v>0</v>
      </c>
      <c r="G179" s="272">
        <v>0</v>
      </c>
      <c r="H179" s="272">
        <v>0</v>
      </c>
      <c r="I179" s="272">
        <v>0</v>
      </c>
      <c r="J179" s="272">
        <v>0</v>
      </c>
      <c r="K179" s="272">
        <v>0</v>
      </c>
      <c r="L179" s="272">
        <v>0</v>
      </c>
    </row>
    <row r="180" spans="1:18" ht="14.4" thickBot="1">
      <c r="A180" s="435"/>
      <c r="B180" s="108" t="s">
        <v>253</v>
      </c>
      <c r="C180" s="363"/>
      <c r="D180" s="366"/>
      <c r="E180" s="368"/>
      <c r="F180" s="272">
        <v>0</v>
      </c>
      <c r="G180" s="272">
        <v>0</v>
      </c>
      <c r="H180" s="272">
        <v>0</v>
      </c>
      <c r="I180" s="272">
        <v>0</v>
      </c>
      <c r="J180" s="272">
        <v>0</v>
      </c>
      <c r="K180" s="272">
        <v>0</v>
      </c>
      <c r="L180" s="272">
        <v>0</v>
      </c>
    </row>
    <row r="181" spans="1:18" ht="14.4" thickBot="1">
      <c r="A181" s="435"/>
      <c r="B181" s="108" t="s">
        <v>254</v>
      </c>
      <c r="C181" s="364"/>
      <c r="D181" s="367"/>
      <c r="E181" s="369"/>
      <c r="F181" s="272">
        <v>2.160823470815644E-2</v>
      </c>
      <c r="G181" s="272">
        <v>2.160823470815644E-2</v>
      </c>
      <c r="H181" s="272">
        <v>2.1404169532528522E-2</v>
      </c>
      <c r="I181" s="272">
        <v>2.1971017242606077E-2</v>
      </c>
      <c r="J181" s="272">
        <v>2.1404169532528522E-2</v>
      </c>
      <c r="K181" s="272">
        <v>2.1404169532528522E-2</v>
      </c>
      <c r="L181" s="272">
        <v>2.1404169532528522E-2</v>
      </c>
    </row>
    <row r="184" spans="1:18" customFormat="1" ht="15" thickBot="1">
      <c r="A184" s="116" t="s">
        <v>255</v>
      </c>
    </row>
    <row r="185" spans="1:18" customFormat="1" ht="14.4">
      <c r="B185" s="117" t="s">
        <v>20</v>
      </c>
      <c r="C185" s="117" t="s">
        <v>21</v>
      </c>
      <c r="D185" s="117" t="s">
        <v>22</v>
      </c>
      <c r="E185" s="117">
        <v>2010</v>
      </c>
      <c r="F185" s="117">
        <v>2011</v>
      </c>
      <c r="G185" s="117">
        <v>2012</v>
      </c>
      <c r="H185" s="117">
        <v>2013</v>
      </c>
      <c r="I185" s="117">
        <v>2014</v>
      </c>
      <c r="J185" s="117">
        <v>2015</v>
      </c>
      <c r="K185" s="117">
        <v>2016</v>
      </c>
      <c r="L185" s="117">
        <v>2017</v>
      </c>
      <c r="M185" s="117">
        <v>2018</v>
      </c>
      <c r="N185" s="117">
        <v>2019</v>
      </c>
      <c r="O185" s="117">
        <v>2020</v>
      </c>
      <c r="P185" s="117">
        <v>2021</v>
      </c>
      <c r="Q185" s="117">
        <v>2022</v>
      </c>
      <c r="R185" s="117">
        <v>2023</v>
      </c>
    </row>
    <row r="186" spans="1:18" customFormat="1" ht="39" customHeight="1">
      <c r="A186" s="118" t="s">
        <v>255</v>
      </c>
      <c r="B186" s="149" t="s">
        <v>256</v>
      </c>
      <c r="C186" s="150" t="s">
        <v>257</v>
      </c>
      <c r="D186" s="150" t="s">
        <v>258</v>
      </c>
      <c r="E186" s="119">
        <v>7945.8812255900002</v>
      </c>
      <c r="F186" s="119">
        <v>8358.7178420899982</v>
      </c>
      <c r="G186" s="119">
        <v>8313.6373977700005</v>
      </c>
      <c r="H186" s="119">
        <v>8904.4246749899994</v>
      </c>
      <c r="I186" s="119">
        <v>9287.6942672399982</v>
      </c>
      <c r="J186" s="119">
        <v>9834.5651626399995</v>
      </c>
      <c r="K186" s="119">
        <v>10154.709930439998</v>
      </c>
      <c r="L186" s="119">
        <v>10167.802017190001</v>
      </c>
      <c r="M186" s="119">
        <v>10531.656982409999</v>
      </c>
      <c r="N186" s="119">
        <v>11298.289184589999</v>
      </c>
      <c r="O186" s="119">
        <v>12016.182052620001</v>
      </c>
      <c r="P186" s="119">
        <v>12297.653076160001</v>
      </c>
      <c r="Q186" s="119">
        <v>12121.190948489997</v>
      </c>
      <c r="R186" s="119">
        <v>12615.533050520002</v>
      </c>
    </row>
    <row r="188" spans="1:18">
      <c r="D188" s="3"/>
    </row>
    <row r="189" spans="1:18" customFormat="1" ht="15" thickBot="1">
      <c r="A189" s="116" t="s">
        <v>259</v>
      </c>
    </row>
    <row r="190" spans="1:18" customFormat="1" ht="15" thickBot="1">
      <c r="B190" s="117" t="s">
        <v>260</v>
      </c>
      <c r="C190" s="117" t="s">
        <v>20</v>
      </c>
      <c r="D190" s="117" t="s">
        <v>21</v>
      </c>
      <c r="E190" s="117" t="s">
        <v>22</v>
      </c>
      <c r="F190" s="117">
        <v>2010</v>
      </c>
      <c r="G190" s="117">
        <v>2015</v>
      </c>
      <c r="H190" s="117">
        <v>2020</v>
      </c>
    </row>
    <row r="191" spans="1:18" customFormat="1" ht="15.6" thickTop="1" thickBot="1">
      <c r="A191" s="356" t="s">
        <v>259</v>
      </c>
      <c r="B191" s="93" t="s">
        <v>261</v>
      </c>
      <c r="C191" s="429" t="s">
        <v>262</v>
      </c>
      <c r="D191" s="430" t="s">
        <v>263</v>
      </c>
      <c r="E191" s="430" t="s">
        <v>264</v>
      </c>
      <c r="F191" s="121">
        <v>0</v>
      </c>
      <c r="G191" s="121">
        <v>0</v>
      </c>
      <c r="H191" s="121">
        <v>0</v>
      </c>
    </row>
    <row r="192" spans="1:18" customFormat="1" ht="15.6" thickTop="1" thickBot="1">
      <c r="A192" s="356"/>
      <c r="B192" s="90" t="s">
        <v>265</v>
      </c>
      <c r="C192" s="429"/>
      <c r="D192" s="430"/>
      <c r="E192" s="430"/>
      <c r="F192" s="121">
        <v>384020.58634857042</v>
      </c>
      <c r="G192" s="121">
        <v>448970.11645511002</v>
      </c>
      <c r="H192" s="121">
        <v>476234.31567549304</v>
      </c>
    </row>
    <row r="193" spans="1:8" customFormat="1" ht="15.6" thickTop="1" thickBot="1">
      <c r="A193" s="356"/>
      <c r="B193" s="91" t="s">
        <v>266</v>
      </c>
      <c r="C193" s="429"/>
      <c r="D193" s="430"/>
      <c r="E193" s="430"/>
      <c r="F193" s="121">
        <v>142992.46502836703</v>
      </c>
      <c r="G193" s="121">
        <v>194975.34448244001</v>
      </c>
      <c r="H193" s="121">
        <v>171766.99040898902</v>
      </c>
    </row>
    <row r="194" spans="1:8" customFormat="1" ht="15.6" thickTop="1" thickBot="1">
      <c r="A194" s="356"/>
      <c r="B194" s="91" t="s">
        <v>267</v>
      </c>
      <c r="C194" s="429"/>
      <c r="D194" s="430"/>
      <c r="E194" s="430"/>
      <c r="F194" s="121">
        <v>7250.3738576100004</v>
      </c>
      <c r="G194" s="121">
        <v>6334.00698852</v>
      </c>
      <c r="H194" s="121">
        <v>4361</v>
      </c>
    </row>
    <row r="195" spans="1:8" customFormat="1" ht="15.6" thickTop="1" thickBot="1">
      <c r="A195" s="356"/>
      <c r="B195" s="90" t="s">
        <v>268</v>
      </c>
      <c r="C195" s="429"/>
      <c r="D195" s="430"/>
      <c r="E195" s="430"/>
      <c r="F195" s="121">
        <v>57583.526800977001</v>
      </c>
      <c r="G195" s="121">
        <v>123977.21606448002</v>
      </c>
      <c r="H195" s="121">
        <v>166476.598431939</v>
      </c>
    </row>
    <row r="196" spans="1:8" customFormat="1" ht="15.6" thickTop="1" thickBot="1">
      <c r="A196" s="356"/>
      <c r="B196" s="91" t="s">
        <v>269</v>
      </c>
      <c r="C196" s="429"/>
      <c r="D196" s="430"/>
      <c r="E196" s="430"/>
      <c r="F196" s="121">
        <v>1711.7395684859998</v>
      </c>
      <c r="G196" s="121">
        <v>7.72612085</v>
      </c>
      <c r="H196" s="121">
        <v>0</v>
      </c>
    </row>
    <row r="197" spans="1:8" customFormat="1" ht="15.6" thickTop="1" thickBot="1">
      <c r="A197" s="356"/>
      <c r="B197" s="91" t="s">
        <v>270</v>
      </c>
      <c r="C197" s="429"/>
      <c r="D197" s="430"/>
      <c r="E197" s="430"/>
      <c r="F197" s="121">
        <v>66340.099310949998</v>
      </c>
      <c r="G197" s="121">
        <v>89916.036048910013</v>
      </c>
      <c r="H197" s="121">
        <v>183741.248936552</v>
      </c>
    </row>
    <row r="198" spans="1:8" customFormat="1" ht="15.6" thickTop="1" thickBot="1">
      <c r="A198" s="356"/>
      <c r="B198" s="91" t="s">
        <v>271</v>
      </c>
      <c r="C198" s="429"/>
      <c r="D198" s="430"/>
      <c r="E198" s="430"/>
      <c r="F198" s="121">
        <v>4636.437229557001</v>
      </c>
      <c r="G198" s="121">
        <v>9755.7871894799973</v>
      </c>
      <c r="H198" s="121">
        <v>13039.499648087001</v>
      </c>
    </row>
    <row r="199" spans="1:8" ht="14.4" thickTop="1"/>
    <row r="200" spans="1:8" ht="14.4" thickBot="1"/>
    <row r="201" spans="1:8" ht="14.4">
      <c r="A201" s="122" t="s">
        <v>20</v>
      </c>
      <c r="B201" s="117" t="s">
        <v>47</v>
      </c>
    </row>
    <row r="202" spans="1:8" ht="14.4">
      <c r="A202" s="123" t="s">
        <v>169</v>
      </c>
      <c r="B202" s="147" t="s">
        <v>272</v>
      </c>
    </row>
    <row r="203" spans="1:8" ht="41.4">
      <c r="A203" s="124" t="s">
        <v>273</v>
      </c>
      <c r="B203" s="147" t="s">
        <v>274</v>
      </c>
    </row>
    <row r="204" spans="1:8" ht="27.6">
      <c r="A204" s="124" t="s">
        <v>181</v>
      </c>
      <c r="B204" s="147" t="s">
        <v>275</v>
      </c>
    </row>
    <row r="205" spans="1:8" ht="14.4">
      <c r="A205" s="124" t="s">
        <v>199</v>
      </c>
      <c r="B205" s="147" t="s">
        <v>276</v>
      </c>
    </row>
    <row r="206" spans="1:8" ht="27.6">
      <c r="A206" s="124" t="s">
        <v>233</v>
      </c>
      <c r="B206" s="147" t="s">
        <v>277</v>
      </c>
    </row>
    <row r="207" spans="1:8" ht="41.4">
      <c r="A207" s="124" t="s">
        <v>256</v>
      </c>
      <c r="B207" s="147" t="s">
        <v>278</v>
      </c>
    </row>
    <row r="208" spans="1:8" ht="14.4">
      <c r="A208" s="124" t="s">
        <v>279</v>
      </c>
      <c r="B208" s="147" t="s">
        <v>280</v>
      </c>
    </row>
  </sheetData>
  <mergeCells count="37">
    <mergeCell ref="B4:B6"/>
    <mergeCell ref="C4:C6"/>
    <mergeCell ref="B11:B14"/>
    <mergeCell ref="C11:C14"/>
    <mergeCell ref="B19:B20"/>
    <mergeCell ref="C19:C20"/>
    <mergeCell ref="B25:B26"/>
    <mergeCell ref="C25:C26"/>
    <mergeCell ref="B31:B32"/>
    <mergeCell ref="C31:C32"/>
    <mergeCell ref="A37:A71"/>
    <mergeCell ref="C37:C141"/>
    <mergeCell ref="D37:D141"/>
    <mergeCell ref="E37:E71"/>
    <mergeCell ref="A72:A106"/>
    <mergeCell ref="E72:E106"/>
    <mergeCell ref="A107:A141"/>
    <mergeCell ref="E107:E141"/>
    <mergeCell ref="A146:A150"/>
    <mergeCell ref="C146:C160"/>
    <mergeCell ref="D146:D160"/>
    <mergeCell ref="E146:E150"/>
    <mergeCell ref="A151:A155"/>
    <mergeCell ref="E151:E155"/>
    <mergeCell ref="A156:A160"/>
    <mergeCell ref="E156:E160"/>
    <mergeCell ref="A191:A198"/>
    <mergeCell ref="C191:C198"/>
    <mergeCell ref="D191:D198"/>
    <mergeCell ref="E191:E198"/>
    <mergeCell ref="A165:A168"/>
    <mergeCell ref="C165:C181"/>
    <mergeCell ref="D165:D181"/>
    <mergeCell ref="E165:E181"/>
    <mergeCell ref="A169:A173"/>
    <mergeCell ref="A174:A175"/>
    <mergeCell ref="A178:A181"/>
  </mergeCells>
  <hyperlinks>
    <hyperlink ref="B204" r:id="rId1" xr:uid="{538C3687-C0CC-4204-A391-0D994AB557EA}"/>
    <hyperlink ref="B208" r:id="rId2" xr:uid="{F0B5F704-1C06-4951-B420-01643399229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D5C5E-D9E9-4F63-A107-E9412A15A5BF}">
  <dimension ref="A2:EV86"/>
  <sheetViews>
    <sheetView topLeftCell="A40" zoomScale="40" zoomScaleNormal="40" workbookViewId="0">
      <selection activeCell="A82" sqref="A82:B82"/>
    </sheetView>
  </sheetViews>
  <sheetFormatPr baseColWidth="10" defaultColWidth="9.77734375" defaultRowHeight="13.8"/>
  <cols>
    <col min="1" max="1" width="57.109375" style="3" customWidth="1"/>
    <col min="2" max="2" width="88.21875" style="154" bestFit="1" customWidth="1"/>
    <col min="3" max="3" width="21.21875" style="3" customWidth="1"/>
    <col min="4" max="9" width="19.33203125" style="3" customWidth="1"/>
    <col min="10" max="10" width="13.21875" style="3" customWidth="1"/>
    <col min="11" max="11" width="13" style="3" customWidth="1"/>
    <col min="12" max="14" width="12.6640625" style="3" bestFit="1" customWidth="1"/>
    <col min="15" max="15" width="11.33203125" style="3" customWidth="1"/>
    <col min="16" max="17" width="13.5546875" style="3" bestFit="1" customWidth="1"/>
    <col min="18" max="16384" width="9.77734375" style="3"/>
  </cols>
  <sheetData>
    <row r="2" spans="1:152" ht="14.4" thickBot="1">
      <c r="A2" s="1" t="s">
        <v>281</v>
      </c>
    </row>
    <row r="3" spans="1:152">
      <c r="B3" s="4" t="s">
        <v>20</v>
      </c>
      <c r="C3" s="4" t="s">
        <v>21</v>
      </c>
      <c r="D3" s="4" t="s">
        <v>22</v>
      </c>
      <c r="E3" s="4">
        <v>2010</v>
      </c>
      <c r="F3" s="4">
        <v>2011</v>
      </c>
      <c r="G3" s="4">
        <v>2012</v>
      </c>
      <c r="H3" s="4">
        <v>2013</v>
      </c>
      <c r="I3" s="4">
        <v>2014</v>
      </c>
      <c r="J3" s="4">
        <v>2015</v>
      </c>
      <c r="K3" s="4">
        <v>2016</v>
      </c>
      <c r="L3" s="4">
        <v>2017</v>
      </c>
      <c r="M3" s="4">
        <v>2018</v>
      </c>
      <c r="N3" s="4">
        <v>2019</v>
      </c>
      <c r="O3" s="4">
        <v>2020</v>
      </c>
      <c r="P3" s="4">
        <v>2021</v>
      </c>
      <c r="Q3" s="4">
        <v>2022</v>
      </c>
    </row>
    <row r="4" spans="1:152" s="159" customFormat="1">
      <c r="A4" s="5" t="s">
        <v>282</v>
      </c>
      <c r="B4" s="394" t="s">
        <v>441</v>
      </c>
      <c r="C4" s="396" t="s">
        <v>442</v>
      </c>
      <c r="D4" s="155" t="s">
        <v>285</v>
      </c>
      <c r="E4" s="158">
        <v>15.189795375678678</v>
      </c>
      <c r="F4" s="158">
        <v>17.481705235216801</v>
      </c>
      <c r="G4" s="158">
        <v>17.466068505812846</v>
      </c>
      <c r="H4" s="158">
        <v>17.974540778257822</v>
      </c>
      <c r="I4" s="158">
        <v>19.346238918384948</v>
      </c>
      <c r="J4" s="158">
        <v>21.066733829998267</v>
      </c>
      <c r="K4" s="158">
        <v>22.603092688569085</v>
      </c>
      <c r="L4" s="158">
        <v>24.897597691321398</v>
      </c>
      <c r="M4" s="158">
        <v>27.954663050600772</v>
      </c>
      <c r="N4" s="158">
        <v>31.666660595717097</v>
      </c>
      <c r="O4" s="158">
        <v>34.58873938838672</v>
      </c>
      <c r="P4" s="158">
        <v>36.606073455924751</v>
      </c>
      <c r="Q4" s="158">
        <v>40.274458600115921</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row>
    <row r="5" spans="1:152" s="159" customFormat="1">
      <c r="A5" s="5" t="s">
        <v>286</v>
      </c>
      <c r="B5" s="410"/>
      <c r="C5" s="396"/>
      <c r="D5" s="155" t="s">
        <v>285</v>
      </c>
      <c r="E5" s="158">
        <v>3.6575736662543492</v>
      </c>
      <c r="F5" s="158">
        <v>3.593317611345261</v>
      </c>
      <c r="G5" s="158">
        <v>3.3582793105640114</v>
      </c>
      <c r="H5" s="158">
        <v>3.2183172743610915</v>
      </c>
      <c r="I5" s="158">
        <v>3.5018109377708706</v>
      </c>
      <c r="J5" s="158">
        <v>3.6313127030545722</v>
      </c>
      <c r="K5" s="158">
        <v>3.9058308678896898</v>
      </c>
      <c r="L5" s="158">
        <v>4.1380379162682273</v>
      </c>
      <c r="M5" s="158">
        <v>6.9490966900345184</v>
      </c>
      <c r="N5" s="158">
        <v>8.1618524950494589</v>
      </c>
      <c r="O5" s="158">
        <v>8.4771039036712388</v>
      </c>
      <c r="P5" s="158">
        <v>8.5070538048633892</v>
      </c>
      <c r="Q5" s="158">
        <v>8.7420480144101393</v>
      </c>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row>
    <row r="6" spans="1:152" s="159" customFormat="1">
      <c r="A6" s="5" t="s">
        <v>287</v>
      </c>
      <c r="B6" s="410"/>
      <c r="C6" s="396"/>
      <c r="D6" s="155" t="s">
        <v>285</v>
      </c>
      <c r="E6" s="158">
        <v>35.277444584045085</v>
      </c>
      <c r="F6" s="158">
        <v>36.976805633323245</v>
      </c>
      <c r="G6" s="158">
        <v>38.509639260433104</v>
      </c>
      <c r="H6" s="158">
        <v>38.33576587664929</v>
      </c>
      <c r="I6" s="158">
        <v>40.397695397120827</v>
      </c>
      <c r="J6" s="158">
        <v>41.513249876318682</v>
      </c>
      <c r="K6" s="158">
        <v>43.35946135480949</v>
      </c>
      <c r="L6" s="158">
        <v>44.631987680721593</v>
      </c>
      <c r="M6" s="158">
        <v>45.920738826881092</v>
      </c>
      <c r="N6" s="158">
        <v>48.301535445611862</v>
      </c>
      <c r="O6" s="158">
        <v>48.579535555132736</v>
      </c>
      <c r="P6" s="158">
        <v>51.283973011882175</v>
      </c>
      <c r="Q6" s="158">
        <v>52.093811034776095</v>
      </c>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row>
    <row r="7" spans="1:152" s="159" customFormat="1">
      <c r="A7" s="5" t="s">
        <v>288</v>
      </c>
      <c r="B7" s="410"/>
      <c r="C7" s="396"/>
      <c r="D7" s="155" t="s">
        <v>285</v>
      </c>
      <c r="E7" s="158">
        <v>25.193049513924993</v>
      </c>
      <c r="F7" s="158">
        <v>26.456120386093033</v>
      </c>
      <c r="G7" s="158">
        <v>28.039537042232645</v>
      </c>
      <c r="H7" s="158">
        <v>28.384371330543885</v>
      </c>
      <c r="I7" s="158">
        <v>28.731099875121309</v>
      </c>
      <c r="J7" s="158">
        <v>29.731554229330008</v>
      </c>
      <c r="K7" s="158">
        <v>31.10976595306586</v>
      </c>
      <c r="L7" s="158">
        <v>33.735552697159861</v>
      </c>
      <c r="M7" s="158">
        <v>32.01632813433153</v>
      </c>
      <c r="N7" s="158">
        <v>32.828984654769449</v>
      </c>
      <c r="O7" s="158">
        <v>33.8720517988979</v>
      </c>
      <c r="P7" s="158">
        <v>35.971839453994889</v>
      </c>
      <c r="Q7" s="158">
        <v>36.967318267800366</v>
      </c>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row>
    <row r="8" spans="1:152" s="159" customFormat="1">
      <c r="A8" s="5" t="s">
        <v>289</v>
      </c>
      <c r="B8" s="410"/>
      <c r="C8" s="396"/>
      <c r="D8" s="155" t="s">
        <v>285</v>
      </c>
      <c r="E8" s="158">
        <v>4.0103858488545052</v>
      </c>
      <c r="F8" s="158">
        <v>4.3143998702657234</v>
      </c>
      <c r="G8" s="158">
        <v>4.5506279366550348</v>
      </c>
      <c r="H8" s="158">
        <v>5.063026309281474</v>
      </c>
      <c r="I8" s="158">
        <v>6.6940508609627871</v>
      </c>
      <c r="J8" s="158">
        <v>7.5029180049841555</v>
      </c>
      <c r="K8" s="158">
        <v>7.8023922605970064</v>
      </c>
      <c r="L8" s="158">
        <v>7.6012804187785665</v>
      </c>
      <c r="M8" s="158">
        <v>9.0616351173398986</v>
      </c>
      <c r="N8" s="158">
        <v>8.8840572894076129</v>
      </c>
      <c r="O8" s="158">
        <v>8.6628312766361155</v>
      </c>
      <c r="P8" s="158">
        <v>9.6187839920128386</v>
      </c>
      <c r="Q8" s="158">
        <v>10.333857789065251</v>
      </c>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row>
    <row r="9" spans="1:152" s="159" customFormat="1">
      <c r="A9" s="5" t="s">
        <v>290</v>
      </c>
      <c r="B9" s="395"/>
      <c r="C9" s="396"/>
      <c r="D9" s="155" t="s">
        <v>285</v>
      </c>
      <c r="E9" s="279">
        <v>83.328248988757608</v>
      </c>
      <c r="F9" s="158">
        <v>88.822348736244038</v>
      </c>
      <c r="G9" s="158">
        <v>91.924152055697647</v>
      </c>
      <c r="H9" s="158">
        <v>92.976021569093575</v>
      </c>
      <c r="I9" s="158">
        <v>98.67089598936073</v>
      </c>
      <c r="J9" s="158">
        <v>103.44576864368568</v>
      </c>
      <c r="K9" s="158">
        <v>108.78054312493113</v>
      </c>
      <c r="L9" s="158">
        <v>115.00445640424962</v>
      </c>
      <c r="M9" s="158">
        <v>121.90246181918781</v>
      </c>
      <c r="N9" s="158">
        <v>129.84309179354383</v>
      </c>
      <c r="O9" s="158">
        <v>134.18026060376127</v>
      </c>
      <c r="P9" s="158">
        <v>141.98772371867804</v>
      </c>
      <c r="Q9" s="158">
        <v>148.41149241957925</v>
      </c>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row>
    <row r="10" spans="1:152">
      <c r="J10" s="280"/>
    </row>
    <row r="12" spans="1:152" s="159" customFormat="1" ht="14.4" thickBot="1">
      <c r="A12" s="160" t="s">
        <v>291</v>
      </c>
      <c r="B12" s="154"/>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152" s="159" customFormat="1">
      <c r="B13" s="4" t="s">
        <v>20</v>
      </c>
      <c r="C13" s="4" t="s">
        <v>21</v>
      </c>
      <c r="D13" s="4" t="s">
        <v>22</v>
      </c>
      <c r="E13" s="4">
        <v>2010</v>
      </c>
      <c r="F13" s="4">
        <v>2011</v>
      </c>
      <c r="G13" s="4">
        <v>2012</v>
      </c>
      <c r="H13" s="4">
        <v>2013</v>
      </c>
      <c r="I13" s="4">
        <v>2014</v>
      </c>
      <c r="J13" s="4">
        <v>2015</v>
      </c>
      <c r="K13" s="4">
        <v>2016</v>
      </c>
      <c r="L13" s="4">
        <v>2017</v>
      </c>
      <c r="M13" s="4">
        <v>2018</v>
      </c>
      <c r="N13" s="4">
        <v>2019</v>
      </c>
      <c r="O13" s="4">
        <v>2020</v>
      </c>
      <c r="P13" s="4">
        <v>2021</v>
      </c>
      <c r="Q13" s="4">
        <v>2022</v>
      </c>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152" s="159" customFormat="1">
      <c r="A14" s="5" t="s">
        <v>282</v>
      </c>
      <c r="B14" s="357" t="s">
        <v>443</v>
      </c>
      <c r="C14" s="358" t="s">
        <v>444</v>
      </c>
      <c r="D14" s="155" t="s">
        <v>112</v>
      </c>
      <c r="E14" s="162">
        <f>E4/$E$9</f>
        <v>0.18228866632884652</v>
      </c>
      <c r="F14" s="162">
        <f>F4/F$9</f>
        <v>0.19681651615775586</v>
      </c>
      <c r="G14" s="162">
        <f t="shared" ref="G14:Q18" si="0">G4/G$9</f>
        <v>0.19000521751051891</v>
      </c>
      <c r="H14" s="162">
        <f t="shared" si="0"/>
        <v>0.19332447737506539</v>
      </c>
      <c r="I14" s="162">
        <f t="shared" si="0"/>
        <v>0.19606834137262696</v>
      </c>
      <c r="J14" s="162">
        <f t="shared" si="0"/>
        <v>0.20365002944259314</v>
      </c>
      <c r="K14" s="162">
        <f t="shared" si="0"/>
        <v>0.20778617240962038</v>
      </c>
      <c r="L14" s="162">
        <f t="shared" si="0"/>
        <v>0.21649246011654019</v>
      </c>
      <c r="M14" s="162">
        <f t="shared" si="0"/>
        <v>0.22931992211990443</v>
      </c>
      <c r="N14" s="162">
        <f t="shared" si="0"/>
        <v>0.24388406158772363</v>
      </c>
      <c r="O14" s="162">
        <f t="shared" si="0"/>
        <v>0.25777815032367846</v>
      </c>
      <c r="P14" s="162">
        <f t="shared" si="0"/>
        <v>0.25781153818940572</v>
      </c>
      <c r="Q14" s="162">
        <f t="shared" si="0"/>
        <v>0.2713702149578458</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52" s="159" customFormat="1">
      <c r="A15" s="5" t="s">
        <v>286</v>
      </c>
      <c r="B15" s="357"/>
      <c r="C15" s="358"/>
      <c r="D15" s="155" t="s">
        <v>112</v>
      </c>
      <c r="E15" s="162">
        <f t="shared" ref="E15:E18" si="1">E5/$E$9</f>
        <v>4.3893562034980689E-2</v>
      </c>
      <c r="F15" s="162">
        <f>F5/F$9</f>
        <v>4.0455106878737657E-2</v>
      </c>
      <c r="G15" s="162">
        <f t="shared" si="0"/>
        <v>3.6533155166111303E-2</v>
      </c>
      <c r="H15" s="162">
        <f t="shared" si="0"/>
        <v>3.4614486832709367E-2</v>
      </c>
      <c r="I15" s="162">
        <f t="shared" si="0"/>
        <v>3.5489805810098821E-2</v>
      </c>
      <c r="J15" s="162">
        <f t="shared" si="0"/>
        <v>3.5103540247861331E-2</v>
      </c>
      <c r="K15" s="162">
        <f t="shared" si="0"/>
        <v>3.590560182627478E-2</v>
      </c>
      <c r="L15" s="162">
        <f t="shared" si="0"/>
        <v>3.5981544069237648E-2</v>
      </c>
      <c r="M15" s="162">
        <f t="shared" si="0"/>
        <v>5.7005384356730936E-2</v>
      </c>
      <c r="N15" s="162">
        <f t="shared" si="0"/>
        <v>6.2859351100689742E-2</v>
      </c>
      <c r="O15" s="162">
        <f t="shared" si="0"/>
        <v>6.3176981960889209E-2</v>
      </c>
      <c r="P15" s="162">
        <f t="shared" si="0"/>
        <v>5.9914009338712382E-2</v>
      </c>
      <c r="Q15" s="162">
        <f t="shared" si="0"/>
        <v>5.8904117679075649E-2</v>
      </c>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52" s="159" customFormat="1">
      <c r="A16" s="5" t="s">
        <v>287</v>
      </c>
      <c r="B16" s="357"/>
      <c r="C16" s="358"/>
      <c r="D16" s="155" t="s">
        <v>112</v>
      </c>
      <c r="E16" s="162">
        <f t="shared" si="1"/>
        <v>0.42335516481097074</v>
      </c>
      <c r="F16" s="162">
        <f>F6/F$9</f>
        <v>0.41630069638357614</v>
      </c>
      <c r="G16" s="162">
        <f t="shared" si="0"/>
        <v>0.41892841434207384</v>
      </c>
      <c r="H16" s="162">
        <f t="shared" si="0"/>
        <v>0.41231884554407083</v>
      </c>
      <c r="I16" s="162">
        <f t="shared" si="0"/>
        <v>0.40941855237107344</v>
      </c>
      <c r="J16" s="162">
        <f t="shared" si="0"/>
        <v>0.40130447499799832</v>
      </c>
      <c r="K16" s="162">
        <f t="shared" si="0"/>
        <v>0.39859574248505519</v>
      </c>
      <c r="L16" s="162">
        <f t="shared" si="0"/>
        <v>0.38808920172481559</v>
      </c>
      <c r="M16" s="162">
        <f t="shared" si="0"/>
        <v>0.37670066823583237</v>
      </c>
      <c r="N16" s="162">
        <f t="shared" si="0"/>
        <v>0.37199927064593785</v>
      </c>
      <c r="O16" s="162">
        <f t="shared" si="0"/>
        <v>0.36204681177799847</v>
      </c>
      <c r="P16" s="162">
        <f t="shared" si="0"/>
        <v>0.36118596501688921</v>
      </c>
      <c r="Q16" s="162">
        <f t="shared" si="0"/>
        <v>0.35100927957452166</v>
      </c>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3" s="159" customFormat="1">
      <c r="A17" s="5" t="s">
        <v>288</v>
      </c>
      <c r="B17" s="357"/>
      <c r="C17" s="358"/>
      <c r="D17" s="155" t="s">
        <v>112</v>
      </c>
      <c r="E17" s="162">
        <f t="shared" si="1"/>
        <v>0.30233504027336472</v>
      </c>
      <c r="F17" s="162">
        <f>F7/F$9</f>
        <v>0.2978543211534958</v>
      </c>
      <c r="G17" s="162">
        <f t="shared" si="0"/>
        <v>0.30502905292227495</v>
      </c>
      <c r="H17" s="162">
        <f t="shared" si="0"/>
        <v>0.30528700681659643</v>
      </c>
      <c r="I17" s="162">
        <f t="shared" si="0"/>
        <v>0.29118109840838236</v>
      </c>
      <c r="J17" s="162">
        <f t="shared" si="0"/>
        <v>0.28741199006156565</v>
      </c>
      <c r="K17" s="162">
        <f t="shared" si="0"/>
        <v>0.28598649224739803</v>
      </c>
      <c r="L17" s="162">
        <f t="shared" si="0"/>
        <v>0.29334126478174694</v>
      </c>
      <c r="M17" s="162">
        <f t="shared" si="0"/>
        <v>0.26263889716862193</v>
      </c>
      <c r="N17" s="162">
        <f t="shared" si="0"/>
        <v>0.25283582053767606</v>
      </c>
      <c r="O17" s="162">
        <f t="shared" si="0"/>
        <v>0.25243692065052092</v>
      </c>
      <c r="P17" s="162">
        <f t="shared" si="0"/>
        <v>0.25334471538727055</v>
      </c>
      <c r="Q17" s="162">
        <f t="shared" si="0"/>
        <v>0.24908662843500545</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3" s="159" customFormat="1">
      <c r="A18" s="5" t="s">
        <v>289</v>
      </c>
      <c r="B18" s="357"/>
      <c r="C18" s="358"/>
      <c r="D18" s="155" t="s">
        <v>112</v>
      </c>
      <c r="E18" s="162">
        <f t="shared" si="1"/>
        <v>4.812756655183735E-2</v>
      </c>
      <c r="F18" s="162">
        <f>F8/F$9</f>
        <v>4.8573359426434856E-2</v>
      </c>
      <c r="G18" s="162">
        <f t="shared" si="0"/>
        <v>4.9504160059020939E-2</v>
      </c>
      <c r="H18" s="162">
        <f t="shared" si="0"/>
        <v>5.4455183431557898E-2</v>
      </c>
      <c r="I18" s="162">
        <f t="shared" si="0"/>
        <v>6.7842202037818516E-2</v>
      </c>
      <c r="J18" s="162">
        <f t="shared" si="0"/>
        <v>7.2529965249981565E-2</v>
      </c>
      <c r="K18" s="162">
        <f t="shared" si="0"/>
        <v>7.1725991031651656E-2</v>
      </c>
      <c r="L18" s="162">
        <f t="shared" si="0"/>
        <v>6.6095529307659814E-2</v>
      </c>
      <c r="M18" s="162">
        <f t="shared" si="0"/>
        <v>7.4335128118910312E-2</v>
      </c>
      <c r="N18" s="162">
        <f t="shared" si="0"/>
        <v>6.8421486015857125E-2</v>
      </c>
      <c r="O18" s="162">
        <f t="shared" si="0"/>
        <v>6.4561145116700455E-2</v>
      </c>
      <c r="P18" s="162">
        <f t="shared" si="0"/>
        <v>6.7743772067722197E-2</v>
      </c>
      <c r="Q18" s="162">
        <f t="shared" si="0"/>
        <v>6.9629768022614072E-2</v>
      </c>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3">
      <c r="E19" s="281"/>
      <c r="F19" s="281"/>
      <c r="G19" s="281"/>
      <c r="H19" s="281"/>
      <c r="I19" s="281"/>
      <c r="J19" s="281"/>
      <c r="K19" s="281"/>
      <c r="L19" s="281"/>
      <c r="M19" s="281"/>
      <c r="N19" s="281"/>
      <c r="O19" s="281"/>
      <c r="P19" s="281"/>
      <c r="Q19" s="281"/>
    </row>
    <row r="21" spans="1:83" ht="14.4" thickBot="1">
      <c r="A21" s="160" t="s">
        <v>293</v>
      </c>
    </row>
    <row r="22" spans="1:83">
      <c r="B22" s="4" t="s">
        <v>20</v>
      </c>
      <c r="C22" s="4" t="s">
        <v>21</v>
      </c>
      <c r="D22" s="4" t="s">
        <v>22</v>
      </c>
      <c r="E22" s="4">
        <v>2010</v>
      </c>
      <c r="F22" s="4">
        <v>2011</v>
      </c>
      <c r="G22" s="4">
        <v>2012</v>
      </c>
      <c r="H22" s="4">
        <v>2013</v>
      </c>
      <c r="I22" s="4">
        <v>2014</v>
      </c>
      <c r="J22" s="4">
        <v>2015</v>
      </c>
      <c r="K22" s="4">
        <v>2016</v>
      </c>
      <c r="L22" s="4">
        <v>2017</v>
      </c>
      <c r="M22" s="4">
        <v>2018</v>
      </c>
      <c r="N22" s="4">
        <v>2019</v>
      </c>
      <c r="O22" s="4">
        <v>2020</v>
      </c>
      <c r="P22" s="4">
        <v>2021</v>
      </c>
      <c r="Q22" s="4">
        <v>2022</v>
      </c>
    </row>
    <row r="23" spans="1:83" s="159" customFormat="1" ht="28.8" customHeight="1">
      <c r="A23" s="5" t="s">
        <v>294</v>
      </c>
      <c r="B23" s="357" t="s">
        <v>445</v>
      </c>
      <c r="C23" s="358" t="s">
        <v>446</v>
      </c>
      <c r="D23" s="155" t="s">
        <v>285</v>
      </c>
      <c r="E23" s="158">
        <v>10.106434143714957</v>
      </c>
      <c r="F23" s="158">
        <v>10.544510693310864</v>
      </c>
      <c r="G23" s="158">
        <v>11.554240710664152</v>
      </c>
      <c r="H23" s="158">
        <v>11.94204235358006</v>
      </c>
      <c r="I23" s="158">
        <v>10.855002726578665</v>
      </c>
      <c r="J23" s="158">
        <v>12.333878525893132</v>
      </c>
      <c r="K23" s="158">
        <v>11.31184455051066</v>
      </c>
      <c r="L23" s="158">
        <v>11.125208354243727</v>
      </c>
      <c r="M23" s="158">
        <v>11.573952314735099</v>
      </c>
      <c r="N23" s="158">
        <v>11.495091494002988</v>
      </c>
      <c r="O23" s="158">
        <v>11.685396609344188</v>
      </c>
      <c r="P23" s="158">
        <v>11.855396915849038</v>
      </c>
      <c r="Q23" s="158">
        <v>11.721147289200035</v>
      </c>
    </row>
    <row r="24" spans="1:83" s="159" customFormat="1" ht="32.4" customHeight="1">
      <c r="A24" s="5" t="s">
        <v>297</v>
      </c>
      <c r="B24" s="357"/>
      <c r="C24" s="358"/>
      <c r="D24" s="155" t="s">
        <v>285</v>
      </c>
      <c r="E24" s="158">
        <v>64.102511656379576</v>
      </c>
      <c r="F24" s="158">
        <v>68.516875625722562</v>
      </c>
      <c r="G24" s="158">
        <v>67.34626877657486</v>
      </c>
      <c r="H24" s="158">
        <v>65.576973750162139</v>
      </c>
      <c r="I24" s="158">
        <v>69.742908381521431</v>
      </c>
      <c r="J24" s="158">
        <v>74.567756935664292</v>
      </c>
      <c r="K24" s="158">
        <v>77.878571783673976</v>
      </c>
      <c r="L24" s="158">
        <v>80.02264011429304</v>
      </c>
      <c r="M24" s="158">
        <v>84.102453071224019</v>
      </c>
      <c r="N24" s="158">
        <v>86.772921210502346</v>
      </c>
      <c r="O24" s="158">
        <v>97.165464289665209</v>
      </c>
      <c r="P24" s="158">
        <v>100.09970142255773</v>
      </c>
      <c r="Q24" s="158">
        <v>102.63167409148454</v>
      </c>
    </row>
    <row r="26" spans="1:83">
      <c r="E26" s="280"/>
      <c r="F26" s="280"/>
      <c r="G26" s="280"/>
      <c r="H26" s="280"/>
      <c r="I26" s="280"/>
      <c r="J26" s="280"/>
      <c r="K26" s="280"/>
      <c r="L26" s="280"/>
      <c r="M26" s="280"/>
      <c r="N26" s="280"/>
      <c r="O26" s="280"/>
      <c r="P26" s="280"/>
      <c r="Q26" s="280"/>
    </row>
    <row r="27" spans="1:83" ht="14.4" thickBot="1">
      <c r="A27" s="160" t="s">
        <v>298</v>
      </c>
    </row>
    <row r="28" spans="1:83">
      <c r="B28" s="4" t="s">
        <v>20</v>
      </c>
      <c r="C28" s="4" t="s">
        <v>21</v>
      </c>
      <c r="D28" s="4" t="s">
        <v>22</v>
      </c>
      <c r="E28" s="4">
        <v>2010</v>
      </c>
      <c r="F28" s="4">
        <v>2011</v>
      </c>
      <c r="G28" s="4">
        <v>2012</v>
      </c>
      <c r="H28" s="4">
        <v>2013</v>
      </c>
      <c r="I28" s="4">
        <v>2014</v>
      </c>
      <c r="J28" s="4">
        <v>2015</v>
      </c>
      <c r="K28" s="4">
        <v>2016</v>
      </c>
      <c r="L28" s="4">
        <v>2017</v>
      </c>
      <c r="M28" s="4">
        <v>2018</v>
      </c>
      <c r="N28" s="4">
        <v>2019</v>
      </c>
      <c r="O28" s="4">
        <v>2020</v>
      </c>
      <c r="P28" s="4">
        <v>2021</v>
      </c>
      <c r="Q28" s="4">
        <v>2022</v>
      </c>
    </row>
    <row r="29" spans="1:83" ht="41.4" customHeight="1">
      <c r="A29" s="5" t="s">
        <v>298</v>
      </c>
      <c r="B29" s="152" t="s">
        <v>299</v>
      </c>
      <c r="C29" s="163" t="s">
        <v>447</v>
      </c>
      <c r="D29" s="155" t="s">
        <v>112</v>
      </c>
      <c r="E29" s="69">
        <v>0.301097928188994</v>
      </c>
      <c r="F29" s="69">
        <v>0.32237548874622662</v>
      </c>
      <c r="G29" s="69">
        <v>0.34142097626720586</v>
      </c>
      <c r="H29" s="69">
        <v>0.35351195130916446</v>
      </c>
      <c r="I29" s="69">
        <v>0.37502158490265036</v>
      </c>
      <c r="J29" s="69">
        <v>0.4052752428415542</v>
      </c>
      <c r="K29" s="69">
        <v>0.41732073036253342</v>
      </c>
      <c r="L29" s="69">
        <v>0.43076097381671125</v>
      </c>
      <c r="M29" s="69">
        <v>0.44603853437394386</v>
      </c>
      <c r="N29" s="69">
        <v>0.44594524161630689</v>
      </c>
      <c r="O29" s="69">
        <v>0.45833999754950538</v>
      </c>
      <c r="P29" s="69">
        <v>0.46903621665826534</v>
      </c>
      <c r="Q29" s="69">
        <v>0.47073475348270394</v>
      </c>
    </row>
    <row r="30" spans="1:83">
      <c r="A30" s="164"/>
      <c r="B30" s="165"/>
      <c r="C30" s="166"/>
      <c r="D30" s="167"/>
      <c r="E30" s="167"/>
      <c r="F30" s="167"/>
      <c r="G30" s="167"/>
      <c r="H30" s="167"/>
      <c r="I30" s="167"/>
      <c r="J30" s="167"/>
      <c r="K30" s="167"/>
      <c r="L30" s="167"/>
      <c r="M30" s="167"/>
      <c r="N30" s="167"/>
      <c r="O30" s="167"/>
      <c r="P30" s="167"/>
      <c r="Q30" s="167"/>
    </row>
    <row r="31" spans="1:83">
      <c r="A31" s="164"/>
      <c r="B31" s="165"/>
      <c r="C31" s="166"/>
      <c r="D31" s="167"/>
      <c r="E31" s="167"/>
      <c r="F31" s="167"/>
      <c r="G31" s="167"/>
      <c r="H31" s="167"/>
      <c r="I31" s="167"/>
      <c r="J31" s="159"/>
      <c r="K31" s="159"/>
      <c r="L31" s="159"/>
      <c r="M31" s="159"/>
      <c r="N31" s="159"/>
      <c r="O31" s="159"/>
      <c r="P31" s="159"/>
      <c r="Q31" s="159"/>
    </row>
    <row r="32" spans="1:83" ht="14.4" thickBot="1">
      <c r="A32" s="160" t="s">
        <v>301</v>
      </c>
    </row>
    <row r="33" spans="1:17" ht="25.2" customHeight="1">
      <c r="B33" s="4" t="s">
        <v>20</v>
      </c>
      <c r="C33" s="4" t="s">
        <v>21</v>
      </c>
      <c r="D33" s="4" t="s">
        <v>22</v>
      </c>
      <c r="E33" s="4">
        <v>2010</v>
      </c>
      <c r="F33" s="4">
        <v>2011</v>
      </c>
      <c r="G33" s="4">
        <v>2012</v>
      </c>
      <c r="H33" s="4">
        <v>2013</v>
      </c>
      <c r="I33" s="4">
        <v>2014</v>
      </c>
      <c r="J33" s="4">
        <v>2015</v>
      </c>
      <c r="K33" s="4">
        <v>2016</v>
      </c>
      <c r="L33" s="4">
        <v>2017</v>
      </c>
      <c r="M33" s="4">
        <v>2018</v>
      </c>
      <c r="N33" s="4">
        <v>2019</v>
      </c>
      <c r="O33" s="4">
        <v>2020</v>
      </c>
      <c r="P33" s="4">
        <v>2021</v>
      </c>
      <c r="Q33" s="4">
        <v>2022</v>
      </c>
    </row>
    <row r="34" spans="1:17" ht="49.2" customHeight="1">
      <c r="A34" s="5" t="s">
        <v>301</v>
      </c>
      <c r="B34" s="152" t="s">
        <v>299</v>
      </c>
      <c r="C34" s="163" t="s">
        <v>303</v>
      </c>
      <c r="D34" s="155" t="s">
        <v>285</v>
      </c>
      <c r="E34" s="169">
        <f t="shared" ref="E34:Q34" si="2">E9*E29</f>
        <v>25.089963130131551</v>
      </c>
      <c r="F34" s="169">
        <f t="shared" si="2"/>
        <v>28.634148085434457</v>
      </c>
      <c r="G34" s="169">
        <f t="shared" si="2"/>
        <v>31.384833737391368</v>
      </c>
      <c r="H34" s="169">
        <f t="shared" si="2"/>
        <v>32.868134809853231</v>
      </c>
      <c r="I34" s="169">
        <f t="shared" si="2"/>
        <v>37.003715797694625</v>
      </c>
      <c r="J34" s="169">
        <f t="shared" si="2"/>
        <v>41.924009008000944</v>
      </c>
      <c r="K34" s="169">
        <f t="shared" si="2"/>
        <v>45.396375706129319</v>
      </c>
      <c r="L34" s="169">
        <f t="shared" si="2"/>
        <v>49.539431633956085</v>
      </c>
      <c r="M34" s="169">
        <f t="shared" si="2"/>
        <v>54.373195406406182</v>
      </c>
      <c r="N34" s="169">
        <f t="shared" si="2"/>
        <v>57.902908942080217</v>
      </c>
      <c r="O34" s="169">
        <f t="shared" si="2"/>
        <v>61.500180316319934</v>
      </c>
      <c r="P34" s="169">
        <f t="shared" si="2"/>
        <v>66.597384744927794</v>
      </c>
      <c r="Q34" s="169">
        <f t="shared" si="2"/>
        <v>69.862447298130817</v>
      </c>
    </row>
    <row r="37" spans="1:17" ht="14.4" thickBot="1">
      <c r="A37" s="160" t="s">
        <v>304</v>
      </c>
    </row>
    <row r="38" spans="1:17">
      <c r="B38" s="4" t="s">
        <v>20</v>
      </c>
      <c r="C38" s="4" t="s">
        <v>21</v>
      </c>
      <c r="D38" s="4" t="s">
        <v>22</v>
      </c>
      <c r="E38" s="4">
        <v>2010</v>
      </c>
      <c r="F38" s="4">
        <v>2011</v>
      </c>
      <c r="G38" s="4">
        <v>2012</v>
      </c>
      <c r="H38" s="4">
        <v>2013</v>
      </c>
      <c r="I38" s="4">
        <v>2014</v>
      </c>
      <c r="J38" s="4">
        <v>2015</v>
      </c>
      <c r="K38" s="4">
        <v>2016</v>
      </c>
      <c r="L38" s="4">
        <v>2017</v>
      </c>
      <c r="M38" s="4">
        <v>2018</v>
      </c>
      <c r="N38" s="4">
        <v>2019</v>
      </c>
      <c r="O38" s="4">
        <v>2020</v>
      </c>
      <c r="P38" s="4">
        <v>2021</v>
      </c>
      <c r="Q38" s="4">
        <v>2022</v>
      </c>
    </row>
    <row r="39" spans="1:17" ht="21" customHeight="1">
      <c r="A39" s="393" t="s">
        <v>305</v>
      </c>
      <c r="B39" s="357" t="s">
        <v>299</v>
      </c>
      <c r="C39" s="358" t="s">
        <v>306</v>
      </c>
      <c r="D39" s="155" t="s">
        <v>112</v>
      </c>
      <c r="E39" s="69">
        <f>1-E29</f>
        <v>0.69890207181100594</v>
      </c>
      <c r="F39" s="69">
        <f t="shared" ref="F39:Q39" si="3">1-F29</f>
        <v>0.67762451125377332</v>
      </c>
      <c r="G39" s="69">
        <f t="shared" si="3"/>
        <v>0.6585790237327942</v>
      </c>
      <c r="H39" s="69">
        <f t="shared" si="3"/>
        <v>0.64648804869083554</v>
      </c>
      <c r="I39" s="69">
        <f t="shared" si="3"/>
        <v>0.62497841509734964</v>
      </c>
      <c r="J39" s="69">
        <f t="shared" si="3"/>
        <v>0.59472475715844575</v>
      </c>
      <c r="K39" s="69">
        <f t="shared" si="3"/>
        <v>0.58267926963746652</v>
      </c>
      <c r="L39" s="69">
        <f t="shared" si="3"/>
        <v>0.5692390261832887</v>
      </c>
      <c r="M39" s="69">
        <f t="shared" si="3"/>
        <v>0.55396146562605608</v>
      </c>
      <c r="N39" s="69">
        <f t="shared" si="3"/>
        <v>0.55405475838369311</v>
      </c>
      <c r="O39" s="69">
        <f t="shared" si="3"/>
        <v>0.54166000245049462</v>
      </c>
      <c r="P39" s="69">
        <f t="shared" si="3"/>
        <v>0.53096378334173466</v>
      </c>
      <c r="Q39" s="69">
        <f t="shared" si="3"/>
        <v>0.52926524651729601</v>
      </c>
    </row>
    <row r="40" spans="1:17" ht="21" customHeight="1">
      <c r="A40" s="393"/>
      <c r="B40" s="357"/>
      <c r="C40" s="358"/>
      <c r="D40" s="155" t="s">
        <v>285</v>
      </c>
      <c r="E40" s="158">
        <f>E39*E9</f>
        <v>58.23828585862605</v>
      </c>
      <c r="F40" s="158">
        <f t="shared" ref="F40:Q40" si="4">F39*F9</f>
        <v>60.188200650809577</v>
      </c>
      <c r="G40" s="158">
        <f t="shared" si="4"/>
        <v>60.539318318306286</v>
      </c>
      <c r="H40" s="158">
        <f t="shared" si="4"/>
        <v>60.107886759240344</v>
      </c>
      <c r="I40" s="158">
        <f t="shared" si="4"/>
        <v>61.667180191666105</v>
      </c>
      <c r="J40" s="158">
        <f t="shared" si="4"/>
        <v>61.521759635684731</v>
      </c>
      <c r="K40" s="158">
        <f t="shared" si="4"/>
        <v>63.384167418801802</v>
      </c>
      <c r="L40" s="158">
        <f t="shared" si="4"/>
        <v>65.465024770293539</v>
      </c>
      <c r="M40" s="158">
        <f t="shared" si="4"/>
        <v>67.529266412781624</v>
      </c>
      <c r="N40" s="158">
        <f t="shared" si="4"/>
        <v>71.940182851463618</v>
      </c>
      <c r="O40" s="158">
        <f t="shared" si="4"/>
        <v>72.680080287441342</v>
      </c>
      <c r="P40" s="158">
        <f t="shared" si="4"/>
        <v>75.390338973750247</v>
      </c>
      <c r="Q40" s="158">
        <f t="shared" si="4"/>
        <v>78.549045121448415</v>
      </c>
    </row>
    <row r="43" spans="1:17" ht="14.4" thickBot="1">
      <c r="A43" s="160" t="s">
        <v>307</v>
      </c>
    </row>
    <row r="44" spans="1:17">
      <c r="B44" s="4" t="s">
        <v>20</v>
      </c>
      <c r="C44" s="4" t="s">
        <v>21</v>
      </c>
      <c r="D44" s="4" t="s">
        <v>22</v>
      </c>
      <c r="E44" s="4">
        <v>2010</v>
      </c>
      <c r="F44" s="4">
        <v>2011</v>
      </c>
      <c r="G44" s="4">
        <v>2012</v>
      </c>
      <c r="H44" s="4">
        <v>2013</v>
      </c>
      <c r="I44" s="4">
        <v>2014</v>
      </c>
      <c r="J44" s="4">
        <v>2015</v>
      </c>
      <c r="K44" s="4">
        <v>2016</v>
      </c>
      <c r="L44" s="4">
        <v>2017</v>
      </c>
      <c r="M44" s="4">
        <v>2018</v>
      </c>
      <c r="N44" s="4">
        <v>2019</v>
      </c>
      <c r="O44" s="4">
        <v>2020</v>
      </c>
      <c r="P44" s="4">
        <v>2021</v>
      </c>
      <c r="Q44" s="4">
        <v>2022</v>
      </c>
    </row>
    <row r="45" spans="1:17" ht="67.8" customHeight="1">
      <c r="A45" s="5" t="s">
        <v>448</v>
      </c>
      <c r="B45" s="152" t="s">
        <v>445</v>
      </c>
      <c r="C45" s="153" t="s">
        <v>309</v>
      </c>
      <c r="D45" s="155" t="s">
        <v>285</v>
      </c>
      <c r="E45" s="158">
        <v>19.755176859018874</v>
      </c>
      <c r="F45" s="158">
        <v>20.203650943797793</v>
      </c>
      <c r="G45" s="158">
        <v>22.088996836563382</v>
      </c>
      <c r="H45" s="158">
        <v>22.844298747132779</v>
      </c>
      <c r="I45" s="158">
        <v>24.822744594567855</v>
      </c>
      <c r="J45" s="158">
        <v>25.817914622223867</v>
      </c>
      <c r="K45" s="158">
        <v>29.701970163462672</v>
      </c>
      <c r="L45" s="158">
        <v>33.096007959385062</v>
      </c>
      <c r="M45" s="158">
        <v>37.735817826163299</v>
      </c>
      <c r="N45" s="158">
        <v>42.245679584279941</v>
      </c>
      <c r="O45" s="158">
        <v>41.128137648430084</v>
      </c>
      <c r="P45" s="158">
        <v>46.542523731288888</v>
      </c>
      <c r="Q45" s="158">
        <v>52.120934156319656</v>
      </c>
    </row>
    <row r="48" spans="1:17" ht="14.4" thickBot="1">
      <c r="A48" s="160" t="s">
        <v>310</v>
      </c>
    </row>
    <row r="49" spans="1:17">
      <c r="B49" s="4" t="s">
        <v>20</v>
      </c>
      <c r="C49" s="4" t="s">
        <v>21</v>
      </c>
      <c r="D49" s="4" t="s">
        <v>22</v>
      </c>
      <c r="E49" s="4">
        <v>2010</v>
      </c>
      <c r="F49" s="4">
        <v>2011</v>
      </c>
      <c r="G49" s="4">
        <v>2012</v>
      </c>
      <c r="H49" s="4">
        <v>2013</v>
      </c>
      <c r="I49" s="4">
        <v>2014</v>
      </c>
      <c r="J49" s="4">
        <v>2015</v>
      </c>
      <c r="K49" s="4">
        <v>2016</v>
      </c>
      <c r="L49" s="4">
        <v>2017</v>
      </c>
      <c r="M49" s="4">
        <v>2018</v>
      </c>
      <c r="N49" s="4">
        <v>2019</v>
      </c>
      <c r="O49" s="4">
        <v>2020</v>
      </c>
      <c r="P49" s="4">
        <v>2021</v>
      </c>
      <c r="Q49" s="4">
        <v>2022</v>
      </c>
    </row>
    <row r="50" spans="1:17" ht="64.2" customHeight="1">
      <c r="A50" s="5" t="s">
        <v>310</v>
      </c>
      <c r="B50" s="152" t="s">
        <v>445</v>
      </c>
      <c r="C50" s="170" t="s">
        <v>311</v>
      </c>
      <c r="D50" s="155" t="s">
        <v>285</v>
      </c>
      <c r="E50" s="158">
        <v>226.81460382056861</v>
      </c>
      <c r="F50" s="158">
        <v>253.72231899033108</v>
      </c>
      <c r="G50" s="158">
        <v>286.60373531733825</v>
      </c>
      <c r="H50" s="158">
        <v>334.03234420528474</v>
      </c>
      <c r="I50" s="158">
        <v>351.22218543154702</v>
      </c>
      <c r="J50" s="158">
        <v>365.91924036343391</v>
      </c>
      <c r="K50" s="158">
        <v>397.04596100454603</v>
      </c>
      <c r="L50" s="158">
        <v>428.71727936152786</v>
      </c>
      <c r="M50" s="158">
        <v>457.69960105248174</v>
      </c>
      <c r="N50" s="158">
        <v>491.05751522896514</v>
      </c>
      <c r="O50" s="158">
        <v>523.91999999999996</v>
      </c>
      <c r="P50" s="158">
        <v>556.79</v>
      </c>
      <c r="Q50" s="158">
        <v>589.66</v>
      </c>
    </row>
    <row r="53" spans="1:17" ht="14.4" thickBot="1">
      <c r="A53" s="160" t="s">
        <v>312</v>
      </c>
    </row>
    <row r="54" spans="1:17">
      <c r="B54" s="4" t="s">
        <v>20</v>
      </c>
      <c r="C54" s="4" t="s">
        <v>21</v>
      </c>
      <c r="D54" s="4" t="s">
        <v>22</v>
      </c>
      <c r="E54" s="4">
        <v>2010</v>
      </c>
      <c r="F54" s="4">
        <v>2011</v>
      </c>
      <c r="G54" s="4">
        <v>2012</v>
      </c>
      <c r="H54" s="4">
        <v>2013</v>
      </c>
      <c r="I54" s="4">
        <v>2014</v>
      </c>
      <c r="J54" s="4">
        <v>2015</v>
      </c>
      <c r="K54" s="4">
        <v>2016</v>
      </c>
      <c r="L54" s="4">
        <v>2017</v>
      </c>
      <c r="M54" s="4">
        <v>2018</v>
      </c>
      <c r="N54" s="4">
        <v>2019</v>
      </c>
      <c r="O54" s="4">
        <v>2020</v>
      </c>
      <c r="P54" s="4">
        <v>2021</v>
      </c>
      <c r="Q54" s="4">
        <v>2022</v>
      </c>
    </row>
    <row r="55" spans="1:17" ht="31.2" customHeight="1">
      <c r="A55" s="5" t="s">
        <v>313</v>
      </c>
      <c r="B55" s="394" t="s">
        <v>443</v>
      </c>
      <c r="C55" s="171" t="s">
        <v>449</v>
      </c>
      <c r="D55" s="155" t="s">
        <v>285</v>
      </c>
      <c r="E55" s="158">
        <f>E8</f>
        <v>4.0103858488545052</v>
      </c>
      <c r="F55" s="158">
        <f t="shared" ref="F55:Q55" si="5">F8</f>
        <v>4.3143998702657234</v>
      </c>
      <c r="G55" s="158">
        <f t="shared" si="5"/>
        <v>4.5506279366550348</v>
      </c>
      <c r="H55" s="158">
        <f t="shared" si="5"/>
        <v>5.063026309281474</v>
      </c>
      <c r="I55" s="158">
        <f t="shared" si="5"/>
        <v>6.6940508609627871</v>
      </c>
      <c r="J55" s="158">
        <f t="shared" si="5"/>
        <v>7.5029180049841555</v>
      </c>
      <c r="K55" s="158">
        <f t="shared" si="5"/>
        <v>7.8023922605970064</v>
      </c>
      <c r="L55" s="158">
        <f t="shared" si="5"/>
        <v>7.6012804187785665</v>
      </c>
      <c r="M55" s="158">
        <f t="shared" si="5"/>
        <v>9.0616351173398986</v>
      </c>
      <c r="N55" s="158">
        <f t="shared" si="5"/>
        <v>8.8840572894076129</v>
      </c>
      <c r="O55" s="158">
        <f t="shared" si="5"/>
        <v>8.6628312766361155</v>
      </c>
      <c r="P55" s="158">
        <f t="shared" si="5"/>
        <v>9.6187839920128386</v>
      </c>
      <c r="Q55" s="158">
        <f t="shared" si="5"/>
        <v>10.333857789065251</v>
      </c>
    </row>
    <row r="56" spans="1:17" ht="27.6" customHeight="1">
      <c r="A56" s="5" t="s">
        <v>315</v>
      </c>
      <c r="B56" s="395"/>
      <c r="C56" s="170" t="s">
        <v>316</v>
      </c>
      <c r="D56" s="155" t="s">
        <v>112</v>
      </c>
      <c r="E56" s="69">
        <f t="shared" ref="E56:H56" si="6">E55/E9</f>
        <v>4.812756655183735E-2</v>
      </c>
      <c r="F56" s="69">
        <f t="shared" si="6"/>
        <v>4.8573359426434856E-2</v>
      </c>
      <c r="G56" s="69">
        <f t="shared" si="6"/>
        <v>4.9504160059020939E-2</v>
      </c>
      <c r="H56" s="69">
        <f t="shared" si="6"/>
        <v>5.4455183431557898E-2</v>
      </c>
      <c r="I56" s="69">
        <f>I55/I9</f>
        <v>6.7842202037818516E-2</v>
      </c>
      <c r="J56" s="69">
        <v>0.10190270992018936</v>
      </c>
      <c r="K56" s="69">
        <v>0.10046709949008054</v>
      </c>
      <c r="L56" s="69">
        <v>0.10033668830878872</v>
      </c>
      <c r="M56" s="69">
        <v>9.9330383411396425E-2</v>
      </c>
      <c r="N56" s="69">
        <v>9.9045430440162632E-2</v>
      </c>
      <c r="O56" s="69">
        <v>9.338440284761286E-2</v>
      </c>
      <c r="P56" s="69">
        <v>9.6248221432733941E-2</v>
      </c>
      <c r="Q56" s="69">
        <v>9.6027541438575684E-2</v>
      </c>
    </row>
    <row r="59" spans="1:17" ht="14.4" thickBot="1">
      <c r="A59" s="160" t="s">
        <v>317</v>
      </c>
    </row>
    <row r="60" spans="1:17">
      <c r="B60" s="4" t="s">
        <v>20</v>
      </c>
      <c r="C60" s="4" t="s">
        <v>21</v>
      </c>
      <c r="D60" s="4" t="s">
        <v>22</v>
      </c>
      <c r="E60" s="4">
        <v>2010</v>
      </c>
      <c r="F60" s="4">
        <v>2011</v>
      </c>
      <c r="G60" s="4">
        <v>2012</v>
      </c>
      <c r="H60" s="4">
        <v>2013</v>
      </c>
      <c r="I60" s="4">
        <v>2014</v>
      </c>
      <c r="J60" s="4">
        <v>2015</v>
      </c>
      <c r="K60" s="4">
        <v>2016</v>
      </c>
      <c r="L60" s="4">
        <v>2017</v>
      </c>
      <c r="M60" s="4">
        <v>2018</v>
      </c>
      <c r="N60" s="4">
        <v>2019</v>
      </c>
      <c r="O60" s="4">
        <v>2020</v>
      </c>
      <c r="P60" s="4">
        <v>2021</v>
      </c>
      <c r="Q60" s="4">
        <v>2022</v>
      </c>
    </row>
    <row r="61" spans="1:17" ht="57.6" customHeight="1">
      <c r="A61" s="5" t="s">
        <v>317</v>
      </c>
      <c r="B61" s="152" t="s">
        <v>445</v>
      </c>
      <c r="C61" s="163" t="s">
        <v>450</v>
      </c>
      <c r="D61" s="155" t="s">
        <v>285</v>
      </c>
      <c r="E61" s="69">
        <v>-10.635873670355792</v>
      </c>
      <c r="F61" s="69">
        <v>-10.442688526587187</v>
      </c>
      <c r="G61" s="69">
        <v>-9.0653542681047696</v>
      </c>
      <c r="H61" s="69">
        <v>-7.3872932817814103</v>
      </c>
      <c r="I61" s="69">
        <v>-6.7497597133072311</v>
      </c>
      <c r="J61" s="69">
        <v>-9.273781440095604</v>
      </c>
      <c r="K61" s="69">
        <v>-10.11184337271618</v>
      </c>
      <c r="L61" s="69">
        <v>-9.2394000236721823</v>
      </c>
      <c r="M61" s="69">
        <v>-11.5097613929346</v>
      </c>
      <c r="N61" s="69">
        <v>-10.670601808229801</v>
      </c>
      <c r="O61" s="69">
        <v>-15.798736624714785</v>
      </c>
      <c r="P61" s="69">
        <v>-16.509898351017618</v>
      </c>
      <c r="Q61" s="69">
        <v>-18.062261830836476</v>
      </c>
    </row>
    <row r="64" spans="1:17" ht="14.4" thickBot="1">
      <c r="A64" s="160" t="s">
        <v>319</v>
      </c>
    </row>
    <row r="65" spans="1:17">
      <c r="B65" s="4" t="s">
        <v>20</v>
      </c>
      <c r="C65" s="4" t="s">
        <v>21</v>
      </c>
      <c r="D65" s="4" t="s">
        <v>22</v>
      </c>
      <c r="E65" s="4">
        <v>2010</v>
      </c>
      <c r="F65" s="4">
        <v>2011</v>
      </c>
      <c r="G65" s="4">
        <v>2012</v>
      </c>
      <c r="H65" s="4">
        <v>2013</v>
      </c>
      <c r="I65" s="4">
        <v>2014</v>
      </c>
      <c r="J65" s="4">
        <v>2015</v>
      </c>
      <c r="K65" s="4">
        <v>2016</v>
      </c>
      <c r="L65" s="4">
        <v>2017</v>
      </c>
      <c r="M65" s="4">
        <v>2018</v>
      </c>
      <c r="N65" s="4">
        <v>2019</v>
      </c>
      <c r="O65" s="4">
        <v>2020</v>
      </c>
      <c r="P65" s="4">
        <v>2021</v>
      </c>
      <c r="Q65" s="4">
        <v>2022</v>
      </c>
    </row>
    <row r="66" spans="1:17" ht="51.6" customHeight="1">
      <c r="A66" s="5" t="s">
        <v>319</v>
      </c>
      <c r="B66" s="152" t="s">
        <v>445</v>
      </c>
      <c r="C66" s="170" t="s">
        <v>320</v>
      </c>
      <c r="D66" s="155" t="s">
        <v>112</v>
      </c>
      <c r="E66" s="172">
        <v>0.11863308057116537</v>
      </c>
      <c r="F66" s="69">
        <f t="shared" ref="F66:Q66" si="7">(F50-E50)/E50</f>
        <v>0.11863308057116537</v>
      </c>
      <c r="G66" s="69">
        <f t="shared" si="7"/>
        <v>0.12959607360462533</v>
      </c>
      <c r="H66" s="69">
        <f t="shared" si="7"/>
        <v>0.16548496423269496</v>
      </c>
      <c r="I66" s="69">
        <f t="shared" si="7"/>
        <v>5.1461607010421698E-2</v>
      </c>
      <c r="J66" s="69">
        <f>(J50-I50)/I50</f>
        <v>4.1845462904994489E-2</v>
      </c>
      <c r="K66" s="69">
        <f t="shared" si="7"/>
        <v>8.5064454687315175E-2</v>
      </c>
      <c r="L66" s="69">
        <f t="shared" si="7"/>
        <v>7.9767385813097849E-2</v>
      </c>
      <c r="M66" s="69">
        <f t="shared" si="7"/>
        <v>6.7602410927117607E-2</v>
      </c>
      <c r="N66" s="69">
        <f t="shared" si="7"/>
        <v>7.2881676321711386E-2</v>
      </c>
      <c r="O66" s="69">
        <f t="shared" si="7"/>
        <v>6.6921865060372898E-2</v>
      </c>
      <c r="P66" s="69">
        <f t="shared" si="7"/>
        <v>6.2738586043670802E-2</v>
      </c>
      <c r="Q66" s="69">
        <f t="shared" si="7"/>
        <v>5.9034824619695052E-2</v>
      </c>
    </row>
    <row r="69" spans="1:17" ht="14.4" thickBot="1">
      <c r="A69" s="160" t="s">
        <v>321</v>
      </c>
    </row>
    <row r="70" spans="1:17">
      <c r="B70" s="4" t="s">
        <v>20</v>
      </c>
      <c r="C70" s="4" t="s">
        <v>21</v>
      </c>
      <c r="D70" s="4" t="s">
        <v>22</v>
      </c>
      <c r="E70" s="4">
        <v>2010</v>
      </c>
      <c r="F70" s="4">
        <v>2011</v>
      </c>
      <c r="G70" s="4">
        <v>2012</v>
      </c>
      <c r="H70" s="4">
        <v>2013</v>
      </c>
      <c r="I70" s="4">
        <v>2014</v>
      </c>
      <c r="J70" s="4">
        <v>2015</v>
      </c>
      <c r="K70" s="4">
        <v>2016</v>
      </c>
      <c r="L70" s="4">
        <v>2017</v>
      </c>
      <c r="M70" s="4">
        <v>2018</v>
      </c>
      <c r="N70" s="4">
        <v>2019</v>
      </c>
      <c r="O70" s="4">
        <v>2020</v>
      </c>
      <c r="P70" s="4">
        <v>2021</v>
      </c>
      <c r="Q70" s="4">
        <v>2022</v>
      </c>
    </row>
    <row r="71" spans="1:17" ht="39" customHeight="1">
      <c r="A71" s="5" t="s">
        <v>321</v>
      </c>
      <c r="B71" s="152" t="s">
        <v>445</v>
      </c>
      <c r="C71" s="170" t="s">
        <v>322</v>
      </c>
      <c r="D71" s="155" t="s">
        <v>285</v>
      </c>
      <c r="E71" s="158">
        <v>47.372376432922032</v>
      </c>
      <c r="F71" s="158">
        <v>51.534389126408904</v>
      </c>
      <c r="G71" s="158">
        <v>55.836365573062821</v>
      </c>
      <c r="H71" s="158">
        <v>62.978844700500147</v>
      </c>
      <c r="I71" s="158">
        <v>63.537309067021496</v>
      </c>
      <c r="J71" s="158">
        <v>63.652967402354079</v>
      </c>
      <c r="K71" s="158">
        <v>66.540256892022143</v>
      </c>
      <c r="L71" s="158">
        <v>66.554136293324888</v>
      </c>
      <c r="M71" s="158">
        <v>67.711200368563311</v>
      </c>
      <c r="N71" s="158">
        <v>69.971497753333381</v>
      </c>
      <c r="O71" s="158">
        <v>76.068881739780579</v>
      </c>
      <c r="P71" s="158">
        <v>79.033473062639217</v>
      </c>
      <c r="Q71" s="158">
        <v>87.625537984230803</v>
      </c>
    </row>
    <row r="74" spans="1:17" ht="14.4" thickBot="1">
      <c r="A74" s="160" t="s">
        <v>323</v>
      </c>
    </row>
    <row r="75" spans="1:17">
      <c r="B75" s="4" t="s">
        <v>20</v>
      </c>
      <c r="C75" s="4" t="s">
        <v>21</v>
      </c>
      <c r="D75" s="4" t="s">
        <v>22</v>
      </c>
      <c r="E75" s="4">
        <v>2010</v>
      </c>
      <c r="F75" s="4">
        <v>2011</v>
      </c>
      <c r="G75" s="4">
        <v>2012</v>
      </c>
      <c r="H75" s="4">
        <v>2013</v>
      </c>
      <c r="I75" s="4">
        <v>2014</v>
      </c>
      <c r="J75" s="4">
        <v>2015</v>
      </c>
      <c r="K75" s="4">
        <v>2016</v>
      </c>
      <c r="L75" s="4">
        <v>2017</v>
      </c>
      <c r="M75" s="4">
        <v>2018</v>
      </c>
      <c r="N75" s="4">
        <v>2019</v>
      </c>
      <c r="O75" s="4">
        <v>2020</v>
      </c>
      <c r="P75" s="4">
        <v>2021</v>
      </c>
      <c r="Q75" s="4">
        <v>2022</v>
      </c>
    </row>
    <row r="76" spans="1:17" ht="34.200000000000003" customHeight="1">
      <c r="A76" s="5" t="s">
        <v>324</v>
      </c>
      <c r="B76" s="394" t="s">
        <v>443</v>
      </c>
      <c r="C76" s="171" t="s">
        <v>325</v>
      </c>
      <c r="D76" s="155" t="s">
        <v>285</v>
      </c>
      <c r="E76" s="172">
        <v>-6.7040642259646752</v>
      </c>
      <c r="F76" s="69">
        <f>E50-F50+F45</f>
        <v>-6.7040642259646752</v>
      </c>
      <c r="G76" s="69">
        <f t="shared" ref="G76:Q76" si="8">F50-G50+G45</f>
        <v>-10.792419490443791</v>
      </c>
      <c r="H76" s="69">
        <f t="shared" si="8"/>
        <v>-24.584310140813717</v>
      </c>
      <c r="I76" s="69">
        <f t="shared" si="8"/>
        <v>7.6329033683055805</v>
      </c>
      <c r="J76" s="69">
        <f t="shared" si="8"/>
        <v>11.120859690336971</v>
      </c>
      <c r="K76" s="69">
        <f t="shared" si="8"/>
        <v>-1.4247504776494431</v>
      </c>
      <c r="L76" s="69">
        <f t="shared" si="8"/>
        <v>1.4246896024032338</v>
      </c>
      <c r="M76" s="69">
        <f t="shared" si="8"/>
        <v>8.7534961352094172</v>
      </c>
      <c r="N76" s="69">
        <f t="shared" si="8"/>
        <v>8.887765407796536</v>
      </c>
      <c r="O76" s="69">
        <f t="shared" si="8"/>
        <v>8.2656528773952687</v>
      </c>
      <c r="P76" s="69">
        <f t="shared" si="8"/>
        <v>13.672523731288884</v>
      </c>
      <c r="Q76" s="69">
        <f t="shared" si="8"/>
        <v>19.250934156319651</v>
      </c>
    </row>
    <row r="77" spans="1:17" ht="33" customHeight="1">
      <c r="A77" s="5" t="s">
        <v>323</v>
      </c>
      <c r="B77" s="395"/>
      <c r="C77" s="171" t="s">
        <v>326</v>
      </c>
      <c r="D77" s="155" t="s">
        <v>112</v>
      </c>
      <c r="E77" s="172">
        <f t="shared" ref="E77:H77" si="9">E76/E50</f>
        <v>-2.9557462848680643E-2</v>
      </c>
      <c r="F77" s="172">
        <f t="shared" si="9"/>
        <v>-2.6422839948188222E-2</v>
      </c>
      <c r="G77" s="172">
        <f t="shared" si="9"/>
        <v>-3.7656241564660783E-2</v>
      </c>
      <c r="H77" s="172">
        <f t="shared" si="9"/>
        <v>-7.3598591775008021E-2</v>
      </c>
      <c r="I77" s="172">
        <f>I76/I50</f>
        <v>2.1732406678487651E-2</v>
      </c>
      <c r="J77" s="69">
        <v>6.3487386660000006E-2</v>
      </c>
      <c r="K77" s="69">
        <v>6.1677386660879435E-2</v>
      </c>
      <c r="L77" s="69">
        <v>7.24314552583986E-2</v>
      </c>
      <c r="M77" s="69">
        <v>7.9097205484984195E-2</v>
      </c>
      <c r="N77" s="69">
        <v>7.3877932507202773E-2</v>
      </c>
      <c r="O77" s="69">
        <v>4.8527749786665735E-2</v>
      </c>
      <c r="P77" s="69">
        <v>6.3058260142579703E-2</v>
      </c>
      <c r="Q77" s="69">
        <v>8.0532242743315677E-2</v>
      </c>
    </row>
    <row r="80" spans="1:17" ht="14.4" thickBot="1"/>
    <row r="81" spans="1:2">
      <c r="A81" s="16" t="s">
        <v>20</v>
      </c>
      <c r="B81" s="4" t="s">
        <v>47</v>
      </c>
    </row>
    <row r="82" spans="1:2" ht="14.4">
      <c r="A82" s="123" t="s">
        <v>451</v>
      </c>
      <c r="B82" s="147" t="s">
        <v>452</v>
      </c>
    </row>
    <row r="83" spans="1:2" ht="14.4">
      <c r="A83" s="123" t="s">
        <v>453</v>
      </c>
      <c r="B83" s="147" t="s">
        <v>454</v>
      </c>
    </row>
    <row r="84" spans="1:2" ht="14.4">
      <c r="A84" s="123" t="s">
        <v>455</v>
      </c>
      <c r="B84" s="147" t="s">
        <v>456</v>
      </c>
    </row>
    <row r="85" spans="1:2" ht="14.4">
      <c r="A85" s="123" t="s">
        <v>299</v>
      </c>
      <c r="B85" s="147" t="s">
        <v>457</v>
      </c>
    </row>
    <row r="86" spans="1:2" ht="14.4">
      <c r="A86" s="123" t="s">
        <v>458</v>
      </c>
      <c r="B86" s="147" t="s">
        <v>459</v>
      </c>
    </row>
  </sheetData>
  <mergeCells count="11">
    <mergeCell ref="B4:B9"/>
    <mergeCell ref="C4:C9"/>
    <mergeCell ref="B14:B18"/>
    <mergeCell ref="C14:C18"/>
    <mergeCell ref="B23:B24"/>
    <mergeCell ref="C23:C24"/>
    <mergeCell ref="A39:A40"/>
    <mergeCell ref="B39:B40"/>
    <mergeCell ref="C39:C40"/>
    <mergeCell ref="B55:B56"/>
    <mergeCell ref="B76:B77"/>
  </mergeCells>
  <hyperlinks>
    <hyperlink ref="B85" r:id="rId1" display="https://ilostat.ilo.org/topics/sdg/" xr:uid="{5F0467C8-A3F5-4B5D-BCC7-C54D8A448F8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7B1F-9689-4334-BCE7-2F965A7D6F33}">
  <dimension ref="A2:DA348"/>
  <sheetViews>
    <sheetView zoomScale="70" zoomScaleNormal="70" workbookViewId="0">
      <selection activeCell="B3" sqref="B3"/>
    </sheetView>
  </sheetViews>
  <sheetFormatPr baseColWidth="10" defaultColWidth="9.77734375" defaultRowHeight="13.8"/>
  <cols>
    <col min="1" max="1" width="60.6640625" style="3" customWidth="1"/>
    <col min="2" max="2" width="25.5546875" style="3" customWidth="1"/>
    <col min="3" max="3" width="43.21875" style="282" bestFit="1" customWidth="1"/>
    <col min="4" max="4" width="57.21875" style="282" bestFit="1" customWidth="1"/>
    <col min="5" max="5" width="14" style="282" bestFit="1" customWidth="1"/>
    <col min="6" max="6" width="15.44140625" style="282" bestFit="1" customWidth="1"/>
    <col min="7" max="8" width="18.77734375" style="282" bestFit="1" customWidth="1"/>
    <col min="9" max="10" width="18.6640625" style="282" bestFit="1" customWidth="1"/>
    <col min="11" max="15" width="16.88671875" style="282" bestFit="1" customWidth="1"/>
    <col min="16" max="16" width="26.21875" style="282" bestFit="1" customWidth="1"/>
    <col min="17" max="70" width="16.88671875" style="282" bestFit="1" customWidth="1"/>
    <col min="71" max="85" width="15.77734375" style="282" bestFit="1" customWidth="1"/>
    <col min="86" max="104" width="14.6640625" style="282" bestFit="1" customWidth="1"/>
    <col min="105" max="106" width="14.6640625" style="3" bestFit="1" customWidth="1"/>
    <col min="107" max="16384" width="9.77734375" style="3"/>
  </cols>
  <sheetData>
    <row r="2" spans="1:8" ht="14.4" thickBot="1">
      <c r="A2" s="160" t="s">
        <v>329</v>
      </c>
    </row>
    <row r="3" spans="1:8">
      <c r="B3" s="4" t="s">
        <v>389</v>
      </c>
      <c r="C3" s="4">
        <v>2015</v>
      </c>
      <c r="D3" s="4">
        <v>2016</v>
      </c>
      <c r="E3" s="4">
        <v>2017</v>
      </c>
      <c r="F3" s="4">
        <v>2018</v>
      </c>
      <c r="G3" s="4">
        <v>2019</v>
      </c>
      <c r="H3" s="4">
        <v>2020</v>
      </c>
    </row>
    <row r="4" spans="1:8" ht="13.8" customHeight="1">
      <c r="A4" s="403" t="s">
        <v>330</v>
      </c>
      <c r="B4" s="72">
        <v>0</v>
      </c>
      <c r="C4" s="226">
        <v>0</v>
      </c>
      <c r="D4" s="226">
        <v>0</v>
      </c>
      <c r="E4" s="226">
        <v>0</v>
      </c>
      <c r="F4" s="226">
        <v>0</v>
      </c>
      <c r="G4" s="226">
        <v>0</v>
      </c>
      <c r="H4" s="226">
        <v>0</v>
      </c>
    </row>
    <row r="5" spans="1:8">
      <c r="A5" s="404"/>
      <c r="B5" s="72">
        <v>1</v>
      </c>
      <c r="C5" s="226">
        <v>0</v>
      </c>
      <c r="D5" s="226">
        <v>0</v>
      </c>
      <c r="E5" s="226">
        <v>0</v>
      </c>
      <c r="F5" s="226">
        <v>0</v>
      </c>
      <c r="G5" s="226">
        <v>0</v>
      </c>
      <c r="H5" s="226">
        <v>0</v>
      </c>
    </row>
    <row r="6" spans="1:8">
      <c r="A6" s="404"/>
      <c r="B6" s="72">
        <v>2</v>
      </c>
      <c r="C6" s="226">
        <v>0</v>
      </c>
      <c r="D6" s="226">
        <v>0</v>
      </c>
      <c r="E6" s="226">
        <v>0</v>
      </c>
      <c r="F6" s="226">
        <v>0</v>
      </c>
      <c r="G6" s="226">
        <v>0</v>
      </c>
      <c r="H6" s="226">
        <v>0</v>
      </c>
    </row>
    <row r="7" spans="1:8">
      <c r="A7" s="404"/>
      <c r="B7" s="72">
        <v>3</v>
      </c>
      <c r="C7" s="226">
        <v>0</v>
      </c>
      <c r="D7" s="226">
        <v>0</v>
      </c>
      <c r="E7" s="226">
        <v>0</v>
      </c>
      <c r="F7" s="226">
        <v>0</v>
      </c>
      <c r="G7" s="226">
        <v>0</v>
      </c>
      <c r="H7" s="226">
        <v>0</v>
      </c>
    </row>
    <row r="8" spans="1:8">
      <c r="A8" s="404"/>
      <c r="B8" s="72">
        <v>4</v>
      </c>
      <c r="C8" s="226">
        <v>0</v>
      </c>
      <c r="D8" s="226">
        <v>0</v>
      </c>
      <c r="E8" s="226">
        <v>0</v>
      </c>
      <c r="F8" s="226">
        <v>0</v>
      </c>
      <c r="G8" s="226">
        <v>0</v>
      </c>
      <c r="H8" s="226">
        <v>0</v>
      </c>
    </row>
    <row r="9" spans="1:8">
      <c r="A9" s="404"/>
      <c r="B9" s="72">
        <v>5</v>
      </c>
      <c r="C9" s="226">
        <v>0</v>
      </c>
      <c r="D9" s="226">
        <v>0</v>
      </c>
      <c r="E9" s="226">
        <v>0</v>
      </c>
      <c r="F9" s="226">
        <v>0</v>
      </c>
      <c r="G9" s="226">
        <v>0</v>
      </c>
      <c r="H9" s="226">
        <v>0</v>
      </c>
    </row>
    <row r="10" spans="1:8">
      <c r="A10" s="404"/>
      <c r="B10" s="72">
        <v>6</v>
      </c>
      <c r="C10" s="226">
        <v>0</v>
      </c>
      <c r="D10" s="226">
        <v>0</v>
      </c>
      <c r="E10" s="226">
        <v>0</v>
      </c>
      <c r="F10" s="226">
        <v>0</v>
      </c>
      <c r="G10" s="226">
        <v>0</v>
      </c>
      <c r="H10" s="226">
        <v>0</v>
      </c>
    </row>
    <row r="11" spans="1:8">
      <c r="A11" s="404"/>
      <c r="B11" s="72">
        <v>7</v>
      </c>
      <c r="C11" s="226">
        <v>0</v>
      </c>
      <c r="D11" s="226">
        <v>0</v>
      </c>
      <c r="E11" s="226">
        <v>0</v>
      </c>
      <c r="F11" s="226">
        <v>0</v>
      </c>
      <c r="G11" s="226">
        <v>0</v>
      </c>
      <c r="H11" s="226">
        <v>0</v>
      </c>
    </row>
    <row r="12" spans="1:8">
      <c r="A12" s="404"/>
      <c r="B12" s="72">
        <v>8</v>
      </c>
      <c r="C12" s="226">
        <v>0</v>
      </c>
      <c r="D12" s="226">
        <v>0</v>
      </c>
      <c r="E12" s="226">
        <v>0</v>
      </c>
      <c r="F12" s="226">
        <v>0</v>
      </c>
      <c r="G12" s="226">
        <v>0</v>
      </c>
      <c r="H12" s="226">
        <v>0</v>
      </c>
    </row>
    <row r="13" spans="1:8">
      <c r="A13" s="404"/>
      <c r="B13" s="72">
        <v>9</v>
      </c>
      <c r="C13" s="226">
        <v>0</v>
      </c>
      <c r="D13" s="226">
        <v>0</v>
      </c>
      <c r="E13" s="226">
        <v>0</v>
      </c>
      <c r="F13" s="226">
        <v>0</v>
      </c>
      <c r="G13" s="226">
        <v>0</v>
      </c>
      <c r="H13" s="226">
        <v>0</v>
      </c>
    </row>
    <row r="14" spans="1:8">
      <c r="A14" s="404"/>
      <c r="B14" s="72">
        <v>10</v>
      </c>
      <c r="C14" s="226">
        <v>0</v>
      </c>
      <c r="D14" s="226">
        <v>0</v>
      </c>
      <c r="E14" s="226">
        <v>0</v>
      </c>
      <c r="F14" s="226">
        <v>0</v>
      </c>
      <c r="G14" s="226">
        <v>0</v>
      </c>
      <c r="H14" s="226">
        <v>0</v>
      </c>
    </row>
    <row r="15" spans="1:8">
      <c r="A15" s="404"/>
      <c r="B15" s="72">
        <v>11</v>
      </c>
      <c r="C15" s="226">
        <v>0</v>
      </c>
      <c r="D15" s="226">
        <v>0</v>
      </c>
      <c r="E15" s="226">
        <v>0</v>
      </c>
      <c r="F15" s="226">
        <v>0</v>
      </c>
      <c r="G15" s="226">
        <v>0</v>
      </c>
      <c r="H15" s="226">
        <v>0</v>
      </c>
    </row>
    <row r="16" spans="1:8">
      <c r="A16" s="404"/>
      <c r="B16" s="72">
        <v>12</v>
      </c>
      <c r="C16" s="226">
        <v>0</v>
      </c>
      <c r="D16" s="226">
        <v>0</v>
      </c>
      <c r="E16" s="226">
        <v>0</v>
      </c>
      <c r="F16" s="226">
        <v>0</v>
      </c>
      <c r="G16" s="226">
        <v>0</v>
      </c>
      <c r="H16" s="226">
        <v>0</v>
      </c>
    </row>
    <row r="17" spans="1:8">
      <c r="A17" s="404"/>
      <c r="B17" s="72">
        <v>13</v>
      </c>
      <c r="C17" s="226">
        <v>0</v>
      </c>
      <c r="D17" s="226">
        <v>0</v>
      </c>
      <c r="E17" s="226">
        <v>0</v>
      </c>
      <c r="F17" s="226">
        <v>0</v>
      </c>
      <c r="G17" s="226">
        <v>0</v>
      </c>
      <c r="H17" s="226">
        <v>0</v>
      </c>
    </row>
    <row r="18" spans="1:8">
      <c r="A18" s="404"/>
      <c r="B18" s="72">
        <v>14</v>
      </c>
      <c r="C18" s="226">
        <v>0</v>
      </c>
      <c r="D18" s="226">
        <v>0</v>
      </c>
      <c r="E18" s="226">
        <v>0</v>
      </c>
      <c r="F18" s="226">
        <v>0</v>
      </c>
      <c r="G18" s="226">
        <v>0</v>
      </c>
      <c r="H18" s="226">
        <v>0</v>
      </c>
    </row>
    <row r="19" spans="1:8">
      <c r="A19" s="404"/>
      <c r="B19" s="72">
        <v>15</v>
      </c>
      <c r="C19" s="283">
        <v>42.421067637747818</v>
      </c>
      <c r="D19" s="283">
        <v>41.718971885943454</v>
      </c>
      <c r="E19" s="283">
        <v>41.26821004533415</v>
      </c>
      <c r="F19" s="283">
        <v>40.79966723825963</v>
      </c>
      <c r="G19" s="283">
        <v>40.190674916868204</v>
      </c>
      <c r="H19" s="283">
        <v>39.596962473749699</v>
      </c>
    </row>
    <row r="20" spans="1:8">
      <c r="A20" s="404"/>
      <c r="B20" s="72">
        <v>16</v>
      </c>
      <c r="C20" s="283">
        <v>84.364891189887857</v>
      </c>
      <c r="D20" s="283">
        <v>83.2688586005373</v>
      </c>
      <c r="E20" s="283">
        <v>82.634627978424135</v>
      </c>
      <c r="F20" s="283">
        <v>81.878225543882365</v>
      </c>
      <c r="G20" s="283">
        <v>80.767218590735325</v>
      </c>
      <c r="H20" s="283">
        <v>79.638532367950816</v>
      </c>
    </row>
    <row r="21" spans="1:8">
      <c r="A21" s="404"/>
      <c r="B21" s="72">
        <v>17</v>
      </c>
      <c r="C21" s="283">
        <v>130.71553424286705</v>
      </c>
      <c r="D21" s="283">
        <v>129.13455554510762</v>
      </c>
      <c r="E21" s="283">
        <v>128.24284918834354</v>
      </c>
      <c r="F21" s="283">
        <v>127.11079297903677</v>
      </c>
      <c r="G21" s="283">
        <v>125.46068273680783</v>
      </c>
      <c r="H21" s="283">
        <v>123.77642444343758</v>
      </c>
    </row>
    <row r="22" spans="1:8">
      <c r="A22" s="404"/>
      <c r="B22" s="72">
        <v>18</v>
      </c>
      <c r="C22" s="283">
        <v>175.85005923367768</v>
      </c>
      <c r="D22" s="283">
        <v>173.70700796127068</v>
      </c>
      <c r="E22" s="283">
        <v>172.47625684244719</v>
      </c>
      <c r="F22" s="283">
        <v>170.89088453820921</v>
      </c>
      <c r="G22" s="283">
        <v>168.72197478778963</v>
      </c>
      <c r="H22" s="283">
        <v>166.52731174216194</v>
      </c>
    </row>
    <row r="23" spans="1:8">
      <c r="A23" s="404"/>
      <c r="B23" s="72">
        <v>19</v>
      </c>
      <c r="C23" s="283">
        <v>205.9885555451076</v>
      </c>
      <c r="D23" s="283">
        <v>203.29235535476667</v>
      </c>
      <c r="E23" s="283">
        <v>201.67128959193511</v>
      </c>
      <c r="F23" s="283">
        <v>199.61643691761486</v>
      </c>
      <c r="G23" s="283">
        <v>197.08462741309995</v>
      </c>
      <c r="H23" s="283">
        <v>194.55625351660785</v>
      </c>
    </row>
    <row r="24" spans="1:8">
      <c r="A24" s="404"/>
      <c r="B24" s="72">
        <v>20</v>
      </c>
      <c r="C24" s="283">
        <v>219.36622671214337</v>
      </c>
      <c r="D24" s="283">
        <v>216.17952833545627</v>
      </c>
      <c r="E24" s="283">
        <v>214.16013865775389</v>
      </c>
      <c r="F24" s="283">
        <v>211.66022499736448</v>
      </c>
      <c r="G24" s="283">
        <v>208.93871695602513</v>
      </c>
      <c r="H24" s="283">
        <v>206.26525440220678</v>
      </c>
    </row>
    <row r="25" spans="1:8">
      <c r="A25" s="404"/>
      <c r="B25" s="72">
        <v>21</v>
      </c>
      <c r="C25" s="283">
        <v>224.68355614804443</v>
      </c>
      <c r="D25" s="283">
        <v>221.25866727587226</v>
      </c>
      <c r="E25" s="283">
        <v>219.03892905521917</v>
      </c>
      <c r="F25" s="283">
        <v>216.24059050859276</v>
      </c>
      <c r="G25" s="283">
        <v>213.41866149098621</v>
      </c>
      <c r="H25" s="283">
        <v>210.65624442468882</v>
      </c>
    </row>
    <row r="26" spans="1:8">
      <c r="A26" s="404"/>
      <c r="B26" s="72">
        <v>22</v>
      </c>
      <c r="C26" s="283">
        <v>224.29877288266982</v>
      </c>
      <c r="D26" s="283">
        <v>220.88076913283737</v>
      </c>
      <c r="E26" s="283">
        <v>218.66079883914807</v>
      </c>
      <c r="F26" s="283">
        <v>215.7185828487905</v>
      </c>
      <c r="G26" s="283">
        <v>212.86172090360759</v>
      </c>
      <c r="H26" s="283">
        <v>210.04092603084828</v>
      </c>
    </row>
    <row r="27" spans="1:8">
      <c r="A27" s="404"/>
      <c r="B27" s="72">
        <v>23</v>
      </c>
      <c r="C27" s="283">
        <v>222.47335974514857</v>
      </c>
      <c r="D27" s="283">
        <v>219.12736526617883</v>
      </c>
      <c r="E27" s="283">
        <v>216.96040192563655</v>
      </c>
      <c r="F27" s="283">
        <v>213.94910727427697</v>
      </c>
      <c r="G27" s="283">
        <v>211.07366166992989</v>
      </c>
      <c r="H27" s="283">
        <v>208.19995313678118</v>
      </c>
    </row>
    <row r="28" spans="1:8">
      <c r="A28" s="404"/>
      <c r="B28" s="72">
        <v>24</v>
      </c>
      <c r="C28" s="283">
        <v>220.15159357057632</v>
      </c>
      <c r="D28" s="283">
        <v>216.88472555784526</v>
      </c>
      <c r="E28" s="283">
        <v>214.77611843886223</v>
      </c>
      <c r="F28" s="283">
        <v>211.7450535428232</v>
      </c>
      <c r="G28" s="283">
        <v>208.85653623062115</v>
      </c>
      <c r="H28" s="283">
        <v>205.93333269563459</v>
      </c>
    </row>
    <row r="29" spans="1:8">
      <c r="A29" s="404"/>
      <c r="B29" s="72">
        <v>25</v>
      </c>
      <c r="C29" s="283">
        <v>217.40006265354856</v>
      </c>
      <c r="D29" s="283">
        <v>214.15252232432709</v>
      </c>
      <c r="E29" s="283">
        <v>212.05052044941087</v>
      </c>
      <c r="F29" s="283">
        <v>209.00929055275924</v>
      </c>
      <c r="G29" s="283">
        <v>206.11453884980523</v>
      </c>
      <c r="H29" s="283">
        <v>203.15579482545985</v>
      </c>
    </row>
    <row r="30" spans="1:8">
      <c r="A30" s="404"/>
      <c r="B30" s="72">
        <v>26</v>
      </c>
      <c r="C30" s="283">
        <v>213.82697052905195</v>
      </c>
      <c r="D30" s="283">
        <v>210.52598068551356</v>
      </c>
      <c r="E30" s="283">
        <v>208.36885466207434</v>
      </c>
      <c r="F30" s="283">
        <v>205.32176122798563</v>
      </c>
      <c r="G30" s="283">
        <v>202.44063635400113</v>
      </c>
      <c r="H30" s="283">
        <v>199.47793549946095</v>
      </c>
    </row>
    <row r="31" spans="1:8">
      <c r="A31" s="404"/>
      <c r="B31" s="72">
        <v>27</v>
      </c>
      <c r="C31" s="283">
        <v>209.506233900653</v>
      </c>
      <c r="D31" s="283">
        <v>206.17756478747717</v>
      </c>
      <c r="E31" s="283">
        <v>203.9902475430913</v>
      </c>
      <c r="F31" s="283">
        <v>200.97064215769348</v>
      </c>
      <c r="G31" s="283">
        <v>198.13430911329101</v>
      </c>
      <c r="H31" s="283">
        <v>195.20786423440543</v>
      </c>
    </row>
    <row r="32" spans="1:8">
      <c r="A32" s="404"/>
      <c r="B32" s="72">
        <v>28</v>
      </c>
      <c r="C32" s="283">
        <v>204.36187435325445</v>
      </c>
      <c r="D32" s="283">
        <v>201.04359999601178</v>
      </c>
      <c r="E32" s="283">
        <v>198.85856031218316</v>
      </c>
      <c r="F32" s="283">
        <v>195.89828261029487</v>
      </c>
      <c r="G32" s="283">
        <v>193.1353011520203</v>
      </c>
      <c r="H32" s="283">
        <v>190.2833011520203</v>
      </c>
    </row>
    <row r="33" spans="1:8">
      <c r="A33" s="404"/>
      <c r="B33" s="72">
        <v>29</v>
      </c>
      <c r="C33" s="283">
        <v>198.15945859654909</v>
      </c>
      <c r="D33" s="283">
        <v>194.84653119000299</v>
      </c>
      <c r="E33" s="283">
        <v>192.65637199308273</v>
      </c>
      <c r="F33" s="283">
        <v>189.74872112016388</v>
      </c>
      <c r="G33" s="283">
        <v>187.06543819871376</v>
      </c>
      <c r="H33" s="283">
        <v>184.30076588222332</v>
      </c>
    </row>
    <row r="34" spans="1:8">
      <c r="A34" s="404"/>
      <c r="B34" s="72">
        <v>30</v>
      </c>
      <c r="C34" s="283">
        <v>190.80253479850441</v>
      </c>
      <c r="D34" s="283">
        <v>187.47390421970249</v>
      </c>
      <c r="E34" s="283">
        <v>185.25950599659893</v>
      </c>
      <c r="F34" s="283">
        <v>182.39343182969722</v>
      </c>
      <c r="G34" s="283">
        <v>179.80440488390167</v>
      </c>
      <c r="H34" s="283">
        <v>177.13926842133873</v>
      </c>
    </row>
    <row r="35" spans="1:8">
      <c r="A35" s="404"/>
      <c r="B35" s="72">
        <v>31</v>
      </c>
      <c r="C35" s="283">
        <v>183.60380917455336</v>
      </c>
      <c r="D35" s="283">
        <v>180.34430042655879</v>
      </c>
      <c r="E35" s="283">
        <v>178.18127769220143</v>
      </c>
      <c r="F35" s="283">
        <v>175.3855049884753</v>
      </c>
      <c r="G35" s="283">
        <v>172.88947804267974</v>
      </c>
      <c r="H35" s="283">
        <v>170.30848036039541</v>
      </c>
    </row>
    <row r="36" spans="1:8">
      <c r="A36" s="404"/>
      <c r="B36" s="72">
        <v>32</v>
      </c>
      <c r="C36" s="283">
        <v>176.47055464982185</v>
      </c>
      <c r="D36" s="283">
        <v>173.36180615018245</v>
      </c>
      <c r="E36" s="283">
        <v>171.32468012674323</v>
      </c>
      <c r="F36" s="283">
        <v>168.63170157031482</v>
      </c>
      <c r="G36" s="283">
        <v>166.23321047844678</v>
      </c>
      <c r="H36" s="283">
        <v>163.72588511265286</v>
      </c>
    </row>
    <row r="37" spans="1:8">
      <c r="A37" s="404"/>
      <c r="B37" s="72">
        <v>33</v>
      </c>
      <c r="C37" s="283">
        <v>169.22258854876446</v>
      </c>
      <c r="D37" s="283">
        <v>166.37293956956813</v>
      </c>
      <c r="E37" s="283">
        <v>164.54293001604336</v>
      </c>
      <c r="F37" s="283">
        <v>161.98144646145283</v>
      </c>
      <c r="G37" s="283">
        <v>159.65676646635382</v>
      </c>
      <c r="H37" s="283">
        <v>157.2085297578862</v>
      </c>
    </row>
    <row r="38" spans="1:8">
      <c r="A38" s="404"/>
      <c r="B38" s="72">
        <v>34</v>
      </c>
      <c r="C38" s="283">
        <v>161.66468111606054</v>
      </c>
      <c r="D38" s="283">
        <v>159.14781556237619</v>
      </c>
      <c r="E38" s="283">
        <v>157.57832418784605</v>
      </c>
      <c r="F38" s="283">
        <v>155.16731405019073</v>
      </c>
      <c r="G38" s="283">
        <v>152.89481368745999</v>
      </c>
      <c r="H38" s="283">
        <v>150.49691929425754</v>
      </c>
    </row>
    <row r="39" spans="1:8">
      <c r="A39" s="404"/>
      <c r="B39" s="72">
        <v>35</v>
      </c>
      <c r="C39" s="283">
        <v>153.50834893845067</v>
      </c>
      <c r="D39" s="283">
        <v>151.28195839395568</v>
      </c>
      <c r="E39" s="283">
        <v>149.93060739195829</v>
      </c>
      <c r="F39" s="283">
        <v>147.65227652394043</v>
      </c>
      <c r="G39" s="283">
        <v>145.43097737848055</v>
      </c>
      <c r="H39" s="283">
        <v>143.08286554399749</v>
      </c>
    </row>
    <row r="40" spans="1:8">
      <c r="A40" s="404"/>
      <c r="B40" s="72">
        <v>36</v>
      </c>
      <c r="C40" s="283">
        <v>143.75299054050677</v>
      </c>
      <c r="D40" s="283">
        <v>141.64765707211114</v>
      </c>
      <c r="E40" s="283">
        <v>140.38045180353942</v>
      </c>
      <c r="F40" s="283">
        <v>138.20256117897577</v>
      </c>
      <c r="G40" s="283">
        <v>136.10512093552157</v>
      </c>
      <c r="H40" s="283">
        <v>133.8436312945766</v>
      </c>
    </row>
    <row r="41" spans="1:8">
      <c r="A41" s="404"/>
      <c r="B41" s="72">
        <v>37</v>
      </c>
      <c r="C41" s="283">
        <v>132.74455507381498</v>
      </c>
      <c r="D41" s="283">
        <v>130.72911136319047</v>
      </c>
      <c r="E41" s="283">
        <v>129.5206524366798</v>
      </c>
      <c r="F41" s="283">
        <v>127.45569010426115</v>
      </c>
      <c r="G41" s="283">
        <v>125.51904169038906</v>
      </c>
      <c r="H41" s="283">
        <v>123.37882729228564</v>
      </c>
    </row>
    <row r="42" spans="1:8">
      <c r="A42" s="404"/>
      <c r="B42" s="72">
        <v>38</v>
      </c>
      <c r="C42" s="283">
        <v>120.47685827057575</v>
      </c>
      <c r="D42" s="283">
        <v>118.52741687766687</v>
      </c>
      <c r="E42" s="283">
        <v>117.35339819461041</v>
      </c>
      <c r="F42" s="283">
        <v>115.41427086157913</v>
      </c>
      <c r="G42" s="283">
        <v>113.67264866804103</v>
      </c>
      <c r="H42" s="283">
        <v>111.68661853773722</v>
      </c>
    </row>
    <row r="43" spans="1:8">
      <c r="A43" s="404"/>
      <c r="B43" s="72">
        <v>39</v>
      </c>
      <c r="C43" s="283">
        <v>107.00267732861545</v>
      </c>
      <c r="D43" s="283">
        <v>105.03622666484389</v>
      </c>
      <c r="E43" s="283">
        <v>103.8179165149361</v>
      </c>
      <c r="F43" s="283">
        <v>101.97875832613947</v>
      </c>
      <c r="G43" s="283">
        <v>100.445301133214</v>
      </c>
      <c r="H43" s="283">
        <v>98.633292587812818</v>
      </c>
    </row>
    <row r="44" spans="1:8">
      <c r="A44" s="404"/>
      <c r="B44" s="72">
        <v>40</v>
      </c>
      <c r="C44" s="283">
        <v>91.81262126063973</v>
      </c>
      <c r="D44" s="283">
        <v>89.701446565171238</v>
      </c>
      <c r="E44" s="283">
        <v>88.336831042118092</v>
      </c>
      <c r="F44" s="283">
        <v>86.579544069367103</v>
      </c>
      <c r="G44" s="283">
        <v>85.322978951928377</v>
      </c>
      <c r="H44" s="283">
        <v>83.731692845969974</v>
      </c>
    </row>
    <row r="45" spans="1:8">
      <c r="A45" s="404"/>
      <c r="B45" s="72">
        <v>41</v>
      </c>
      <c r="C45" s="283">
        <v>76.896439009087388</v>
      </c>
      <c r="D45" s="283">
        <v>74.828587361697132</v>
      </c>
      <c r="E45" s="283">
        <v>73.437472201374746</v>
      </c>
      <c r="F45" s="283">
        <v>71.801549128791592</v>
      </c>
      <c r="G45" s="283">
        <v>70.713139741102779</v>
      </c>
      <c r="H45" s="283">
        <v>69.318083390464949</v>
      </c>
    </row>
    <row r="46" spans="1:8">
      <c r="A46" s="404"/>
      <c r="B46" s="72">
        <v>42</v>
      </c>
      <c r="C46" s="283">
        <v>62.000950800259204</v>
      </c>
      <c r="D46" s="283">
        <v>60.094809278271768</v>
      </c>
      <c r="E46" s="283">
        <v>58.755646312712727</v>
      </c>
      <c r="F46" s="283">
        <v>57.280161165868073</v>
      </c>
      <c r="G46" s="283">
        <v>56.31843640870963</v>
      </c>
      <c r="H46" s="283">
        <v>55.121423227877095</v>
      </c>
    </row>
    <row r="47" spans="1:8">
      <c r="A47" s="404"/>
      <c r="B47" s="72">
        <v>43</v>
      </c>
      <c r="C47" s="283">
        <v>48.79011259755724</v>
      </c>
      <c r="D47" s="283">
        <v>47.074848519300943</v>
      </c>
      <c r="E47" s="283">
        <v>45.803570676081613</v>
      </c>
      <c r="F47" s="283">
        <v>44.474454064836145</v>
      </c>
      <c r="G47" s="283">
        <v>43.581316010019073</v>
      </c>
      <c r="H47" s="283">
        <v>42.551204900997547</v>
      </c>
    </row>
    <row r="48" spans="1:8">
      <c r="A48" s="404"/>
      <c r="B48" s="72">
        <v>44</v>
      </c>
      <c r="C48" s="283">
        <v>37.67731988237626</v>
      </c>
      <c r="D48" s="283">
        <v>36.164354224118298</v>
      </c>
      <c r="E48" s="283">
        <v>34.968033211093669</v>
      </c>
      <c r="F48" s="283">
        <v>33.764378428205035</v>
      </c>
      <c r="G48" s="283">
        <v>32.891056831049909</v>
      </c>
      <c r="H48" s="283">
        <v>31.993986574118011</v>
      </c>
    </row>
    <row r="49" spans="1:8">
      <c r="A49" s="404"/>
      <c r="B49" s="72">
        <v>45</v>
      </c>
      <c r="C49" s="283">
        <v>29.733645954825377</v>
      </c>
      <c r="D49" s="283">
        <v>28.42546908297227</v>
      </c>
      <c r="E49" s="283">
        <v>27.297035510003035</v>
      </c>
      <c r="F49" s="283">
        <v>26.163490969343325</v>
      </c>
      <c r="G49" s="283">
        <v>25.203000461605768</v>
      </c>
      <c r="H49" s="283">
        <v>24.364222396986719</v>
      </c>
    </row>
    <row r="50" spans="1:8">
      <c r="A50" s="404"/>
      <c r="B50" s="72">
        <v>46</v>
      </c>
      <c r="C50" s="283">
        <v>22.847381857762763</v>
      </c>
      <c r="D50" s="283">
        <v>21.760438651200047</v>
      </c>
      <c r="E50" s="283">
        <v>20.76901898452488</v>
      </c>
      <c r="F50" s="283">
        <v>19.782481397012209</v>
      </c>
      <c r="G50" s="283">
        <v>18.880495887436776</v>
      </c>
      <c r="H50" s="283">
        <v>18.159765628054384</v>
      </c>
    </row>
    <row r="51" spans="1:8">
      <c r="A51" s="404"/>
      <c r="B51" s="72">
        <v>47</v>
      </c>
      <c r="C51" s="283">
        <v>17.419641884718207</v>
      </c>
      <c r="D51" s="283">
        <v>16.531535269796997</v>
      </c>
      <c r="E51" s="283">
        <v>15.682014631755617</v>
      </c>
      <c r="F51" s="283">
        <v>14.840091559172457</v>
      </c>
      <c r="G51" s="283">
        <v>14.021362025251609</v>
      </c>
      <c r="H51" s="283">
        <v>13.411519205924606</v>
      </c>
    </row>
    <row r="52" spans="1:8">
      <c r="A52" s="404"/>
      <c r="B52" s="72">
        <v>48</v>
      </c>
      <c r="C52" s="283">
        <v>12.996380548170723</v>
      </c>
      <c r="D52" s="283">
        <v>12.289388085448255</v>
      </c>
      <c r="E52" s="283">
        <v>11.590838183895645</v>
      </c>
      <c r="F52" s="283">
        <v>10.901067797885172</v>
      </c>
      <c r="G52" s="283">
        <v>10.204299729590382</v>
      </c>
      <c r="H52" s="283">
        <v>9.7068825219619423</v>
      </c>
    </row>
    <row r="53" spans="1:8">
      <c r="A53" s="404"/>
      <c r="B53" s="72">
        <v>49</v>
      </c>
      <c r="C53" s="283">
        <v>8.3069849254449331</v>
      </c>
      <c r="D53" s="283">
        <v>7.8204605187647873</v>
      </c>
      <c r="E53" s="283">
        <v>7.3311681851208927</v>
      </c>
      <c r="F53" s="283">
        <v>6.8508373171030552</v>
      </c>
      <c r="G53" s="283">
        <v>6.369903522734095</v>
      </c>
      <c r="H53" s="283">
        <v>6.0339882700905623</v>
      </c>
    </row>
    <row r="54" spans="1:8">
      <c r="A54" s="404"/>
      <c r="B54" s="72">
        <v>50</v>
      </c>
      <c r="C54" s="227">
        <v>0</v>
      </c>
      <c r="D54" s="227">
        <v>0</v>
      </c>
      <c r="E54" s="227">
        <v>0</v>
      </c>
      <c r="F54" s="227">
        <v>0</v>
      </c>
      <c r="G54" s="227">
        <v>0</v>
      </c>
      <c r="H54" s="227">
        <v>0</v>
      </c>
    </row>
    <row r="55" spans="1:8">
      <c r="A55" s="404"/>
      <c r="B55" s="72">
        <v>51</v>
      </c>
      <c r="C55" s="227">
        <v>0</v>
      </c>
      <c r="D55" s="227">
        <v>0</v>
      </c>
      <c r="E55" s="227">
        <v>0</v>
      </c>
      <c r="F55" s="227">
        <v>0</v>
      </c>
      <c r="G55" s="227">
        <v>0</v>
      </c>
      <c r="H55" s="227">
        <v>0</v>
      </c>
    </row>
    <row r="56" spans="1:8">
      <c r="A56" s="404"/>
      <c r="B56" s="72">
        <v>52</v>
      </c>
      <c r="C56" s="227">
        <v>0</v>
      </c>
      <c r="D56" s="227">
        <v>0</v>
      </c>
      <c r="E56" s="227">
        <v>0</v>
      </c>
      <c r="F56" s="227">
        <v>0</v>
      </c>
      <c r="G56" s="227">
        <v>0</v>
      </c>
      <c r="H56" s="227">
        <v>0</v>
      </c>
    </row>
    <row r="57" spans="1:8">
      <c r="A57" s="404"/>
      <c r="B57" s="72">
        <v>53</v>
      </c>
      <c r="C57" s="227">
        <v>0</v>
      </c>
      <c r="D57" s="227">
        <v>0</v>
      </c>
      <c r="E57" s="227">
        <v>0</v>
      </c>
      <c r="F57" s="227">
        <v>0</v>
      </c>
      <c r="G57" s="227">
        <v>0</v>
      </c>
      <c r="H57" s="227">
        <v>0</v>
      </c>
    </row>
    <row r="58" spans="1:8">
      <c r="A58" s="404"/>
      <c r="B58" s="72">
        <v>54</v>
      </c>
      <c r="C58" s="227">
        <v>0</v>
      </c>
      <c r="D58" s="227">
        <v>0</v>
      </c>
      <c r="E58" s="227">
        <v>0</v>
      </c>
      <c r="F58" s="227">
        <v>0</v>
      </c>
      <c r="G58" s="227">
        <v>0</v>
      </c>
      <c r="H58" s="227">
        <v>0</v>
      </c>
    </row>
    <row r="59" spans="1:8">
      <c r="A59" s="404"/>
      <c r="B59" s="72">
        <v>55</v>
      </c>
      <c r="C59" s="227">
        <v>0</v>
      </c>
      <c r="D59" s="227">
        <v>0</v>
      </c>
      <c r="E59" s="227">
        <v>0</v>
      </c>
      <c r="F59" s="227">
        <v>0</v>
      </c>
      <c r="G59" s="227">
        <v>0</v>
      </c>
      <c r="H59" s="227">
        <v>0</v>
      </c>
    </row>
    <row r="60" spans="1:8">
      <c r="A60" s="404"/>
      <c r="B60" s="72">
        <v>56</v>
      </c>
      <c r="C60" s="227">
        <v>0</v>
      </c>
      <c r="D60" s="227">
        <v>0</v>
      </c>
      <c r="E60" s="227">
        <v>0</v>
      </c>
      <c r="F60" s="227">
        <v>0</v>
      </c>
      <c r="G60" s="227">
        <v>0</v>
      </c>
      <c r="H60" s="227">
        <v>0</v>
      </c>
    </row>
    <row r="61" spans="1:8">
      <c r="A61" s="404"/>
      <c r="B61" s="72">
        <v>57</v>
      </c>
      <c r="C61" s="227">
        <v>0</v>
      </c>
      <c r="D61" s="227">
        <v>0</v>
      </c>
      <c r="E61" s="227">
        <v>0</v>
      </c>
      <c r="F61" s="227">
        <v>0</v>
      </c>
      <c r="G61" s="227">
        <v>0</v>
      </c>
      <c r="H61" s="227">
        <v>0</v>
      </c>
    </row>
    <row r="62" spans="1:8">
      <c r="A62" s="404"/>
      <c r="B62" s="72">
        <v>58</v>
      </c>
      <c r="C62" s="227">
        <v>0</v>
      </c>
      <c r="D62" s="227">
        <v>0</v>
      </c>
      <c r="E62" s="227">
        <v>0</v>
      </c>
      <c r="F62" s="227">
        <v>0</v>
      </c>
      <c r="G62" s="227">
        <v>0</v>
      </c>
      <c r="H62" s="227">
        <v>0</v>
      </c>
    </row>
    <row r="63" spans="1:8">
      <c r="A63" s="404"/>
      <c r="B63" s="72">
        <v>59</v>
      </c>
      <c r="C63" s="227">
        <v>0</v>
      </c>
      <c r="D63" s="227">
        <v>0</v>
      </c>
      <c r="E63" s="227">
        <v>0</v>
      </c>
      <c r="F63" s="227">
        <v>0</v>
      </c>
      <c r="G63" s="227">
        <v>0</v>
      </c>
      <c r="H63" s="227">
        <v>0</v>
      </c>
    </row>
    <row r="64" spans="1:8">
      <c r="A64" s="404"/>
      <c r="B64" s="72">
        <v>60</v>
      </c>
      <c r="C64" s="227">
        <v>0</v>
      </c>
      <c r="D64" s="227">
        <v>0</v>
      </c>
      <c r="E64" s="227">
        <v>0</v>
      </c>
      <c r="F64" s="227">
        <v>0</v>
      </c>
      <c r="G64" s="227">
        <v>0</v>
      </c>
      <c r="H64" s="227">
        <v>0</v>
      </c>
    </row>
    <row r="65" spans="1:8">
      <c r="A65" s="404"/>
      <c r="B65" s="72">
        <v>61</v>
      </c>
      <c r="C65" s="227">
        <v>0</v>
      </c>
      <c r="D65" s="227">
        <v>0</v>
      </c>
      <c r="E65" s="227">
        <v>0</v>
      </c>
      <c r="F65" s="227">
        <v>0</v>
      </c>
      <c r="G65" s="227">
        <v>0</v>
      </c>
      <c r="H65" s="227">
        <v>0</v>
      </c>
    </row>
    <row r="66" spans="1:8">
      <c r="A66" s="404"/>
      <c r="B66" s="72">
        <v>62</v>
      </c>
      <c r="C66" s="227">
        <v>0</v>
      </c>
      <c r="D66" s="227">
        <v>0</v>
      </c>
      <c r="E66" s="227">
        <v>0</v>
      </c>
      <c r="F66" s="227">
        <v>0</v>
      </c>
      <c r="G66" s="227">
        <v>0</v>
      </c>
      <c r="H66" s="227">
        <v>0</v>
      </c>
    </row>
    <row r="67" spans="1:8">
      <c r="A67" s="404"/>
      <c r="B67" s="72">
        <v>63</v>
      </c>
      <c r="C67" s="227">
        <v>0</v>
      </c>
      <c r="D67" s="227">
        <v>0</v>
      </c>
      <c r="E67" s="227">
        <v>0</v>
      </c>
      <c r="F67" s="227">
        <v>0</v>
      </c>
      <c r="G67" s="227">
        <v>0</v>
      </c>
      <c r="H67" s="227">
        <v>0</v>
      </c>
    </row>
    <row r="68" spans="1:8">
      <c r="A68" s="404"/>
      <c r="B68" s="72">
        <v>64</v>
      </c>
      <c r="C68" s="227">
        <v>0</v>
      </c>
      <c r="D68" s="227">
        <v>0</v>
      </c>
      <c r="E68" s="227">
        <v>0</v>
      </c>
      <c r="F68" s="227">
        <v>0</v>
      </c>
      <c r="G68" s="227">
        <v>0</v>
      </c>
      <c r="H68" s="227">
        <v>0</v>
      </c>
    </row>
    <row r="69" spans="1:8">
      <c r="A69" s="404"/>
      <c r="B69" s="72">
        <v>65</v>
      </c>
      <c r="C69" s="227">
        <v>0</v>
      </c>
      <c r="D69" s="227">
        <v>0</v>
      </c>
      <c r="E69" s="227">
        <v>0</v>
      </c>
      <c r="F69" s="227">
        <v>0</v>
      </c>
      <c r="G69" s="227">
        <v>0</v>
      </c>
      <c r="H69" s="227">
        <v>0</v>
      </c>
    </row>
    <row r="70" spans="1:8">
      <c r="A70" s="404"/>
      <c r="B70" s="72">
        <v>66</v>
      </c>
      <c r="C70" s="227">
        <v>0</v>
      </c>
      <c r="D70" s="227">
        <v>0</v>
      </c>
      <c r="E70" s="227">
        <v>0</v>
      </c>
      <c r="F70" s="227">
        <v>0</v>
      </c>
      <c r="G70" s="227">
        <v>0</v>
      </c>
      <c r="H70" s="227">
        <v>0</v>
      </c>
    </row>
    <row r="71" spans="1:8">
      <c r="A71" s="404"/>
      <c r="B71" s="72">
        <v>67</v>
      </c>
      <c r="C71" s="227">
        <v>0</v>
      </c>
      <c r="D71" s="227">
        <v>0</v>
      </c>
      <c r="E71" s="227">
        <v>0</v>
      </c>
      <c r="F71" s="227">
        <v>0</v>
      </c>
      <c r="G71" s="227">
        <v>0</v>
      </c>
      <c r="H71" s="227">
        <v>0</v>
      </c>
    </row>
    <row r="72" spans="1:8">
      <c r="A72" s="404"/>
      <c r="B72" s="72">
        <v>68</v>
      </c>
      <c r="C72" s="227">
        <v>0</v>
      </c>
      <c r="D72" s="227">
        <v>0</v>
      </c>
      <c r="E72" s="227">
        <v>0</v>
      </c>
      <c r="F72" s="227">
        <v>0</v>
      </c>
      <c r="G72" s="227">
        <v>0</v>
      </c>
      <c r="H72" s="227">
        <v>0</v>
      </c>
    </row>
    <row r="73" spans="1:8">
      <c r="A73" s="404"/>
      <c r="B73" s="72">
        <v>69</v>
      </c>
      <c r="C73" s="227">
        <v>0</v>
      </c>
      <c r="D73" s="227">
        <v>0</v>
      </c>
      <c r="E73" s="227">
        <v>0</v>
      </c>
      <c r="F73" s="227">
        <v>0</v>
      </c>
      <c r="G73" s="227">
        <v>0</v>
      </c>
      <c r="H73" s="227">
        <v>0</v>
      </c>
    </row>
    <row r="74" spans="1:8">
      <c r="A74" s="404"/>
      <c r="B74" s="72">
        <v>70</v>
      </c>
      <c r="C74" s="227">
        <v>0</v>
      </c>
      <c r="D74" s="227">
        <v>0</v>
      </c>
      <c r="E74" s="227">
        <v>0</v>
      </c>
      <c r="F74" s="227">
        <v>0</v>
      </c>
      <c r="G74" s="227">
        <v>0</v>
      </c>
      <c r="H74" s="227">
        <v>0</v>
      </c>
    </row>
    <row r="75" spans="1:8">
      <c r="A75" s="404"/>
      <c r="B75" s="72">
        <v>71</v>
      </c>
      <c r="C75" s="227">
        <v>0</v>
      </c>
      <c r="D75" s="227">
        <v>0</v>
      </c>
      <c r="E75" s="227">
        <v>0</v>
      </c>
      <c r="F75" s="227">
        <v>0</v>
      </c>
      <c r="G75" s="227">
        <v>0</v>
      </c>
      <c r="H75" s="227">
        <v>0</v>
      </c>
    </row>
    <row r="76" spans="1:8">
      <c r="A76" s="404"/>
      <c r="B76" s="72">
        <v>72</v>
      </c>
      <c r="C76" s="227">
        <v>0</v>
      </c>
      <c r="D76" s="227">
        <v>0</v>
      </c>
      <c r="E76" s="227">
        <v>0</v>
      </c>
      <c r="F76" s="227">
        <v>0</v>
      </c>
      <c r="G76" s="227">
        <v>0</v>
      </c>
      <c r="H76" s="227">
        <v>0</v>
      </c>
    </row>
    <row r="77" spans="1:8">
      <c r="A77" s="404"/>
      <c r="B77" s="72">
        <v>73</v>
      </c>
      <c r="C77" s="227">
        <v>0</v>
      </c>
      <c r="D77" s="227">
        <v>0</v>
      </c>
      <c r="E77" s="227">
        <v>0</v>
      </c>
      <c r="F77" s="227">
        <v>0</v>
      </c>
      <c r="G77" s="227">
        <v>0</v>
      </c>
      <c r="H77" s="227">
        <v>0</v>
      </c>
    </row>
    <row r="78" spans="1:8">
      <c r="A78" s="404"/>
      <c r="B78" s="72">
        <v>74</v>
      </c>
      <c r="C78" s="227">
        <v>0</v>
      </c>
      <c r="D78" s="227">
        <v>0</v>
      </c>
      <c r="E78" s="227">
        <v>0</v>
      </c>
      <c r="F78" s="227">
        <v>0</v>
      </c>
      <c r="G78" s="227">
        <v>0</v>
      </c>
      <c r="H78" s="227">
        <v>0</v>
      </c>
    </row>
    <row r="79" spans="1:8">
      <c r="A79" s="404"/>
      <c r="B79" s="72">
        <v>75</v>
      </c>
      <c r="C79" s="227">
        <v>0</v>
      </c>
      <c r="D79" s="227">
        <v>0</v>
      </c>
      <c r="E79" s="227">
        <v>0</v>
      </c>
      <c r="F79" s="227">
        <v>0</v>
      </c>
      <c r="G79" s="227">
        <v>0</v>
      </c>
      <c r="H79" s="227">
        <v>0</v>
      </c>
    </row>
    <row r="80" spans="1:8">
      <c r="A80" s="404"/>
      <c r="B80" s="72">
        <v>76</v>
      </c>
      <c r="C80" s="227">
        <v>0</v>
      </c>
      <c r="D80" s="227">
        <v>0</v>
      </c>
      <c r="E80" s="227">
        <v>0</v>
      </c>
      <c r="F80" s="227">
        <v>0</v>
      </c>
      <c r="G80" s="227">
        <v>0</v>
      </c>
      <c r="H80" s="227">
        <v>0</v>
      </c>
    </row>
    <row r="81" spans="1:8">
      <c r="A81" s="404"/>
      <c r="B81" s="72">
        <v>77</v>
      </c>
      <c r="C81" s="227">
        <v>0</v>
      </c>
      <c r="D81" s="227">
        <v>0</v>
      </c>
      <c r="E81" s="227">
        <v>0</v>
      </c>
      <c r="F81" s="227">
        <v>0</v>
      </c>
      <c r="G81" s="227">
        <v>0</v>
      </c>
      <c r="H81" s="227">
        <v>0</v>
      </c>
    </row>
    <row r="82" spans="1:8">
      <c r="A82" s="404"/>
      <c r="B82" s="72">
        <v>78</v>
      </c>
      <c r="C82" s="227">
        <v>0</v>
      </c>
      <c r="D82" s="227">
        <v>0</v>
      </c>
      <c r="E82" s="227">
        <v>0</v>
      </c>
      <c r="F82" s="227">
        <v>0</v>
      </c>
      <c r="G82" s="227">
        <v>0</v>
      </c>
      <c r="H82" s="227">
        <v>0</v>
      </c>
    </row>
    <row r="83" spans="1:8">
      <c r="A83" s="404"/>
      <c r="B83" s="72">
        <v>79</v>
      </c>
      <c r="C83" s="227">
        <v>0</v>
      </c>
      <c r="D83" s="227">
        <v>0</v>
      </c>
      <c r="E83" s="227">
        <v>0</v>
      </c>
      <c r="F83" s="227">
        <v>0</v>
      </c>
      <c r="G83" s="227">
        <v>0</v>
      </c>
      <c r="H83" s="227">
        <v>0</v>
      </c>
    </row>
    <row r="84" spans="1:8">
      <c r="A84" s="404"/>
      <c r="B84" s="72">
        <v>80</v>
      </c>
      <c r="C84" s="227">
        <v>0</v>
      </c>
      <c r="D84" s="227">
        <v>0</v>
      </c>
      <c r="E84" s="227">
        <v>0</v>
      </c>
      <c r="F84" s="227">
        <v>0</v>
      </c>
      <c r="G84" s="227">
        <v>0</v>
      </c>
      <c r="H84" s="227">
        <v>0</v>
      </c>
    </row>
    <row r="85" spans="1:8">
      <c r="A85" s="404"/>
      <c r="B85" s="72">
        <v>81</v>
      </c>
      <c r="C85" s="227">
        <v>0</v>
      </c>
      <c r="D85" s="227">
        <v>0</v>
      </c>
      <c r="E85" s="227">
        <v>0</v>
      </c>
      <c r="F85" s="227">
        <v>0</v>
      </c>
      <c r="G85" s="227">
        <v>0</v>
      </c>
      <c r="H85" s="227">
        <v>0</v>
      </c>
    </row>
    <row r="86" spans="1:8">
      <c r="A86" s="404"/>
      <c r="B86" s="72">
        <v>82</v>
      </c>
      <c r="C86" s="227">
        <v>0</v>
      </c>
      <c r="D86" s="227">
        <v>0</v>
      </c>
      <c r="E86" s="227">
        <v>0</v>
      </c>
      <c r="F86" s="227">
        <v>0</v>
      </c>
      <c r="G86" s="227">
        <v>0</v>
      </c>
      <c r="H86" s="227">
        <v>0</v>
      </c>
    </row>
    <row r="87" spans="1:8">
      <c r="A87" s="404"/>
      <c r="B87" s="72">
        <v>83</v>
      </c>
      <c r="C87" s="227">
        <v>0</v>
      </c>
      <c r="D87" s="227">
        <v>0</v>
      </c>
      <c r="E87" s="227">
        <v>0</v>
      </c>
      <c r="F87" s="227">
        <v>0</v>
      </c>
      <c r="G87" s="227">
        <v>0</v>
      </c>
      <c r="H87" s="227">
        <v>0</v>
      </c>
    </row>
    <row r="88" spans="1:8">
      <c r="A88" s="404"/>
      <c r="B88" s="72">
        <v>84</v>
      </c>
      <c r="C88" s="227">
        <v>0</v>
      </c>
      <c r="D88" s="227">
        <v>0</v>
      </c>
      <c r="E88" s="227">
        <v>0</v>
      </c>
      <c r="F88" s="227">
        <v>0</v>
      </c>
      <c r="G88" s="227">
        <v>0</v>
      </c>
      <c r="H88" s="227">
        <v>0</v>
      </c>
    </row>
    <row r="89" spans="1:8">
      <c r="A89" s="404"/>
      <c r="B89" s="72">
        <v>85</v>
      </c>
      <c r="C89" s="227">
        <v>0</v>
      </c>
      <c r="D89" s="227">
        <v>0</v>
      </c>
      <c r="E89" s="227">
        <v>0</v>
      </c>
      <c r="F89" s="227">
        <v>0</v>
      </c>
      <c r="G89" s="227">
        <v>0</v>
      </c>
      <c r="H89" s="227">
        <v>0</v>
      </c>
    </row>
    <row r="90" spans="1:8">
      <c r="A90" s="404"/>
      <c r="B90" s="72">
        <v>86</v>
      </c>
      <c r="C90" s="227">
        <v>0</v>
      </c>
      <c r="D90" s="227">
        <v>0</v>
      </c>
      <c r="E90" s="227">
        <v>0</v>
      </c>
      <c r="F90" s="227">
        <v>0</v>
      </c>
      <c r="G90" s="227">
        <v>0</v>
      </c>
      <c r="H90" s="227">
        <v>0</v>
      </c>
    </row>
    <row r="91" spans="1:8">
      <c r="A91" s="404"/>
      <c r="B91" s="72">
        <v>87</v>
      </c>
      <c r="C91" s="227">
        <v>0</v>
      </c>
      <c r="D91" s="227">
        <v>0</v>
      </c>
      <c r="E91" s="227">
        <v>0</v>
      </c>
      <c r="F91" s="227">
        <v>0</v>
      </c>
      <c r="G91" s="227">
        <v>0</v>
      </c>
      <c r="H91" s="227">
        <v>0</v>
      </c>
    </row>
    <row r="92" spans="1:8">
      <c r="A92" s="404"/>
      <c r="B92" s="72">
        <v>88</v>
      </c>
      <c r="C92" s="227">
        <v>0</v>
      </c>
      <c r="D92" s="227">
        <v>0</v>
      </c>
      <c r="E92" s="227">
        <v>0</v>
      </c>
      <c r="F92" s="227">
        <v>0</v>
      </c>
      <c r="G92" s="227">
        <v>0</v>
      </c>
      <c r="H92" s="227">
        <v>0</v>
      </c>
    </row>
    <row r="93" spans="1:8">
      <c r="A93" s="404"/>
      <c r="B93" s="72">
        <v>89</v>
      </c>
      <c r="C93" s="227">
        <v>0</v>
      </c>
      <c r="D93" s="227">
        <v>0</v>
      </c>
      <c r="E93" s="227">
        <v>0</v>
      </c>
      <c r="F93" s="227">
        <v>0</v>
      </c>
      <c r="G93" s="227">
        <v>0</v>
      </c>
      <c r="H93" s="227">
        <v>0</v>
      </c>
    </row>
    <row r="94" spans="1:8">
      <c r="A94" s="404"/>
      <c r="B94" s="72">
        <v>90</v>
      </c>
      <c r="C94" s="227">
        <v>0</v>
      </c>
      <c r="D94" s="227">
        <v>0</v>
      </c>
      <c r="E94" s="227">
        <v>0</v>
      </c>
      <c r="F94" s="227">
        <v>0</v>
      </c>
      <c r="G94" s="227">
        <v>0</v>
      </c>
      <c r="H94" s="227">
        <v>0</v>
      </c>
    </row>
    <row r="95" spans="1:8">
      <c r="A95" s="404"/>
      <c r="B95" s="72">
        <v>91</v>
      </c>
      <c r="C95" s="227">
        <v>0</v>
      </c>
      <c r="D95" s="227">
        <v>0</v>
      </c>
      <c r="E95" s="227">
        <v>0</v>
      </c>
      <c r="F95" s="227">
        <v>0</v>
      </c>
      <c r="G95" s="227">
        <v>0</v>
      </c>
      <c r="H95" s="227">
        <v>0</v>
      </c>
    </row>
    <row r="96" spans="1:8">
      <c r="A96" s="404"/>
      <c r="B96" s="72">
        <v>92</v>
      </c>
      <c r="C96" s="227">
        <v>0</v>
      </c>
      <c r="D96" s="227">
        <v>0</v>
      </c>
      <c r="E96" s="227">
        <v>0</v>
      </c>
      <c r="F96" s="227">
        <v>0</v>
      </c>
      <c r="G96" s="227">
        <v>0</v>
      </c>
      <c r="H96" s="227">
        <v>0</v>
      </c>
    </row>
    <row r="97" spans="1:8">
      <c r="A97" s="404"/>
      <c r="B97" s="72">
        <v>93</v>
      </c>
      <c r="C97" s="227">
        <v>0</v>
      </c>
      <c r="D97" s="227">
        <v>0</v>
      </c>
      <c r="E97" s="227">
        <v>0</v>
      </c>
      <c r="F97" s="227">
        <v>0</v>
      </c>
      <c r="G97" s="227">
        <v>0</v>
      </c>
      <c r="H97" s="227">
        <v>0</v>
      </c>
    </row>
    <row r="98" spans="1:8">
      <c r="A98" s="404"/>
      <c r="B98" s="72">
        <v>94</v>
      </c>
      <c r="C98" s="227">
        <v>0</v>
      </c>
      <c r="D98" s="227">
        <v>0</v>
      </c>
      <c r="E98" s="227">
        <v>0</v>
      </c>
      <c r="F98" s="227">
        <v>0</v>
      </c>
      <c r="G98" s="227">
        <v>0</v>
      </c>
      <c r="H98" s="227">
        <v>0</v>
      </c>
    </row>
    <row r="99" spans="1:8">
      <c r="A99" s="404"/>
      <c r="B99" s="72">
        <v>95</v>
      </c>
      <c r="C99" s="227">
        <v>0</v>
      </c>
      <c r="D99" s="227">
        <v>0</v>
      </c>
      <c r="E99" s="227">
        <v>0</v>
      </c>
      <c r="F99" s="227">
        <v>0</v>
      </c>
      <c r="G99" s="227">
        <v>0</v>
      </c>
      <c r="H99" s="227">
        <v>0</v>
      </c>
    </row>
    <row r="100" spans="1:8">
      <c r="A100" s="404"/>
      <c r="B100" s="72">
        <v>96</v>
      </c>
      <c r="C100" s="227">
        <v>0</v>
      </c>
      <c r="D100" s="227">
        <v>0</v>
      </c>
      <c r="E100" s="227">
        <v>0</v>
      </c>
      <c r="F100" s="227">
        <v>0</v>
      </c>
      <c r="G100" s="227">
        <v>0</v>
      </c>
      <c r="H100" s="227">
        <v>0</v>
      </c>
    </row>
    <row r="101" spans="1:8">
      <c r="A101" s="404"/>
      <c r="B101" s="72">
        <v>97</v>
      </c>
      <c r="C101" s="227">
        <v>0</v>
      </c>
      <c r="D101" s="227">
        <v>0</v>
      </c>
      <c r="E101" s="227">
        <v>0</v>
      </c>
      <c r="F101" s="227">
        <v>0</v>
      </c>
      <c r="G101" s="227">
        <v>0</v>
      </c>
      <c r="H101" s="227">
        <v>0</v>
      </c>
    </row>
    <row r="102" spans="1:8">
      <c r="A102" s="404"/>
      <c r="B102" s="72">
        <v>98</v>
      </c>
      <c r="C102" s="227">
        <v>0</v>
      </c>
      <c r="D102" s="227">
        <v>0</v>
      </c>
      <c r="E102" s="227">
        <v>0</v>
      </c>
      <c r="F102" s="227">
        <v>0</v>
      </c>
      <c r="G102" s="227">
        <v>0</v>
      </c>
      <c r="H102" s="227">
        <v>0</v>
      </c>
    </row>
    <row r="103" spans="1:8">
      <c r="A103" s="404"/>
      <c r="B103" s="72">
        <v>99</v>
      </c>
      <c r="C103" s="227">
        <v>0</v>
      </c>
      <c r="D103" s="227">
        <v>0</v>
      </c>
      <c r="E103" s="227">
        <v>0</v>
      </c>
      <c r="F103" s="227">
        <v>0</v>
      </c>
      <c r="G103" s="227">
        <v>0</v>
      </c>
      <c r="H103" s="227">
        <v>0</v>
      </c>
    </row>
    <row r="104" spans="1:8">
      <c r="A104" s="405"/>
      <c r="B104" s="72">
        <v>100</v>
      </c>
      <c r="C104" s="227">
        <v>0</v>
      </c>
      <c r="D104" s="227">
        <v>0</v>
      </c>
      <c r="E104" s="227">
        <v>0</v>
      </c>
      <c r="F104" s="227">
        <v>0</v>
      </c>
      <c r="G104" s="227">
        <v>0</v>
      </c>
      <c r="H104" s="227">
        <v>0</v>
      </c>
    </row>
    <row r="107" spans="1:8" ht="14.4" thickBot="1">
      <c r="A107" s="160" t="s">
        <v>331</v>
      </c>
    </row>
    <row r="108" spans="1:8">
      <c r="B108" s="4" t="s">
        <v>389</v>
      </c>
      <c r="C108" s="4">
        <v>2015</v>
      </c>
      <c r="D108" s="4">
        <v>2016</v>
      </c>
      <c r="E108" s="4">
        <v>2017</v>
      </c>
      <c r="F108" s="4">
        <v>2018</v>
      </c>
      <c r="G108" s="4">
        <v>2019</v>
      </c>
      <c r="H108" s="4">
        <v>2020</v>
      </c>
    </row>
    <row r="109" spans="1:8" ht="13.8" customHeight="1">
      <c r="A109" s="403" t="s">
        <v>332</v>
      </c>
      <c r="B109" s="72">
        <v>0</v>
      </c>
      <c r="C109" s="283">
        <v>37.803994354182286</v>
      </c>
      <c r="D109" s="283">
        <v>36.057359662760177</v>
      </c>
      <c r="E109" s="283">
        <v>34.423224127727892</v>
      </c>
      <c r="F109" s="283">
        <v>32.809101461500347</v>
      </c>
      <c r="G109" s="283">
        <v>31.39629743857461</v>
      </c>
      <c r="H109" s="283">
        <v>30.059444742383189</v>
      </c>
    </row>
    <row r="110" spans="1:8">
      <c r="A110" s="404"/>
      <c r="B110" s="72">
        <v>1</v>
      </c>
      <c r="C110" s="283">
        <v>6.2207408041498748</v>
      </c>
      <c r="D110" s="283">
        <v>5.8199730178184623</v>
      </c>
      <c r="E110" s="283">
        <v>5.5252461874935754</v>
      </c>
      <c r="F110" s="283">
        <v>5.290754699127981</v>
      </c>
      <c r="G110" s="283">
        <v>5.132116231703197</v>
      </c>
      <c r="H110" s="283">
        <v>4.8528861012360496</v>
      </c>
    </row>
    <row r="111" spans="1:8">
      <c r="A111" s="404"/>
      <c r="B111" s="72">
        <v>2</v>
      </c>
      <c r="C111" s="283">
        <v>3.8017634365077324</v>
      </c>
      <c r="D111" s="283">
        <v>3.5634724992781264</v>
      </c>
      <c r="E111" s="283">
        <v>3.377230412109411</v>
      </c>
      <c r="F111" s="283">
        <v>3.2233621689584022</v>
      </c>
      <c r="G111" s="283">
        <v>3.1200048784368182</v>
      </c>
      <c r="H111" s="283">
        <v>2.9489518135349693</v>
      </c>
    </row>
    <row r="112" spans="1:8">
      <c r="A112" s="404"/>
      <c r="B112" s="72">
        <v>3</v>
      </c>
      <c r="C112" s="283">
        <v>2.5914601931904473</v>
      </c>
      <c r="D112" s="283">
        <v>2.4329900728769833</v>
      </c>
      <c r="E112" s="283">
        <v>2.3102327211935116</v>
      </c>
      <c r="F112" s="283">
        <v>2.2059798479112231</v>
      </c>
      <c r="G112" s="283">
        <v>2.1361205105175936</v>
      </c>
      <c r="H112" s="283">
        <v>2.0219136552711823</v>
      </c>
    </row>
    <row r="113" spans="1:8">
      <c r="A113" s="404"/>
      <c r="B113" s="72">
        <v>4</v>
      </c>
      <c r="C113" s="283">
        <v>1.8692575851830537</v>
      </c>
      <c r="D113" s="283">
        <v>1.7602990548309465</v>
      </c>
      <c r="E113" s="283">
        <v>1.6743337030976702</v>
      </c>
      <c r="F113" s="283">
        <v>1.6007175095732407</v>
      </c>
      <c r="G113" s="283">
        <v>1.5497505362167801</v>
      </c>
      <c r="H113" s="283">
        <v>1.4711548223152575</v>
      </c>
    </row>
    <row r="114" spans="1:8">
      <c r="A114" s="404"/>
      <c r="B114" s="72">
        <v>5</v>
      </c>
      <c r="C114" s="283">
        <v>1.4260850263318248</v>
      </c>
      <c r="D114" s="283">
        <v>1.3445569343758164</v>
      </c>
      <c r="E114" s="283">
        <v>1.2815181314522393</v>
      </c>
      <c r="F114" s="283">
        <v>1.2273923985520363</v>
      </c>
      <c r="G114" s="283">
        <v>1.18752943507793</v>
      </c>
      <c r="H114" s="283">
        <v>1.1288519743527854</v>
      </c>
    </row>
    <row r="115" spans="1:8">
      <c r="A115" s="404"/>
      <c r="B115" s="72">
        <v>6</v>
      </c>
      <c r="C115" s="283">
        <v>1.1864437329188979</v>
      </c>
      <c r="D115" s="283">
        <v>1.1172835262315399</v>
      </c>
      <c r="E115" s="283">
        <v>1.0648719625245178</v>
      </c>
      <c r="F115" s="283">
        <v>1.0203266464353189</v>
      </c>
      <c r="G115" s="283">
        <v>0.98673288981202112</v>
      </c>
      <c r="H115" s="283">
        <v>0.93775728227135924</v>
      </c>
    </row>
    <row r="116" spans="1:8">
      <c r="A116" s="404"/>
      <c r="B116" s="72">
        <v>7</v>
      </c>
      <c r="C116" s="283">
        <v>1.0320570097334438</v>
      </c>
      <c r="D116" s="283">
        <v>0.971942579032957</v>
      </c>
      <c r="E116" s="283">
        <v>0.92403056298495834</v>
      </c>
      <c r="F116" s="283">
        <v>0.88464580528497261</v>
      </c>
      <c r="G116" s="283">
        <v>0.85476000724463386</v>
      </c>
      <c r="H116" s="283">
        <v>0.81198608994078725</v>
      </c>
    </row>
    <row r="117" spans="1:8">
      <c r="A117" s="404"/>
      <c r="B117" s="72">
        <v>8</v>
      </c>
      <c r="C117" s="283">
        <v>0.91891586022221183</v>
      </c>
      <c r="D117" s="283">
        <v>0.86385754732557773</v>
      </c>
      <c r="E117" s="283">
        <v>0.82185058762712149</v>
      </c>
      <c r="F117" s="283">
        <v>0.78532998923601804</v>
      </c>
      <c r="G117" s="283">
        <v>0.75749970748112683</v>
      </c>
      <c r="H117" s="283">
        <v>0.71998430594090101</v>
      </c>
    </row>
    <row r="118" spans="1:8">
      <c r="A118" s="404"/>
      <c r="B118" s="72">
        <v>9</v>
      </c>
      <c r="C118" s="283">
        <v>0.85058699625516687</v>
      </c>
      <c r="D118" s="283">
        <v>0.79966605447222949</v>
      </c>
      <c r="E118" s="283">
        <v>0.75916322222090316</v>
      </c>
      <c r="F118" s="283">
        <v>0.72507565086243941</v>
      </c>
      <c r="G118" s="283">
        <v>0.69915879506463707</v>
      </c>
      <c r="H118" s="283">
        <v>0.66274134746745916</v>
      </c>
    </row>
    <row r="119" spans="1:8">
      <c r="A119" s="404"/>
      <c r="B119" s="72">
        <v>10</v>
      </c>
      <c r="C119" s="283">
        <v>0.81658259831399094</v>
      </c>
      <c r="D119" s="283">
        <v>0.76684916625156163</v>
      </c>
      <c r="E119" s="283">
        <v>0.72728011056553066</v>
      </c>
      <c r="F119" s="283">
        <v>0.69584067874898414</v>
      </c>
      <c r="G119" s="283">
        <v>0.66825308951570428</v>
      </c>
      <c r="H119" s="283">
        <v>0.63489494863121954</v>
      </c>
    </row>
    <row r="120" spans="1:8">
      <c r="A120" s="404"/>
      <c r="B120" s="72">
        <v>11</v>
      </c>
      <c r="C120" s="283">
        <v>0.80608555110576408</v>
      </c>
      <c r="D120" s="283">
        <v>0.75646837326342797</v>
      </c>
      <c r="E120" s="283">
        <v>0.71837308973787772</v>
      </c>
      <c r="F120" s="283">
        <v>0.68692650302249891</v>
      </c>
      <c r="G120" s="283">
        <v>0.66097385867867042</v>
      </c>
      <c r="H120" s="283">
        <v>0.62707030323283719</v>
      </c>
    </row>
    <row r="121" spans="1:8">
      <c r="A121" s="404"/>
      <c r="B121" s="72">
        <v>12</v>
      </c>
      <c r="C121" s="283">
        <v>0.83460761619703749</v>
      </c>
      <c r="D121" s="283">
        <v>0.78489948904951712</v>
      </c>
      <c r="E121" s="283">
        <v>0.74365746777151776</v>
      </c>
      <c r="F121" s="283">
        <v>0.70989658526471888</v>
      </c>
      <c r="G121" s="283">
        <v>0.68275299709562154</v>
      </c>
      <c r="H121" s="283">
        <v>0.64671311432765044</v>
      </c>
    </row>
    <row r="122" spans="1:8">
      <c r="A122" s="404"/>
      <c r="B122" s="72">
        <v>13</v>
      </c>
      <c r="C122" s="283">
        <v>0.90169025398148006</v>
      </c>
      <c r="D122" s="283">
        <v>0.84652089062998348</v>
      </c>
      <c r="E122" s="283">
        <v>0.80172085471470411</v>
      </c>
      <c r="F122" s="283">
        <v>0.7655427292976138</v>
      </c>
      <c r="G122" s="283">
        <v>0.73460207080160411</v>
      </c>
      <c r="H122" s="283">
        <v>0.69568986962599666</v>
      </c>
    </row>
    <row r="123" spans="1:8">
      <c r="A123" s="404"/>
      <c r="B123" s="72">
        <v>14</v>
      </c>
      <c r="C123" s="283">
        <v>1.00009932729175</v>
      </c>
      <c r="D123" s="283">
        <v>0.93817504996619505</v>
      </c>
      <c r="E123" s="283">
        <v>0.88646230053932218</v>
      </c>
      <c r="F123" s="283">
        <v>0.84691793414225947</v>
      </c>
      <c r="G123" s="283">
        <v>0.81114012524417733</v>
      </c>
      <c r="H123" s="283">
        <v>0.76964582880397125</v>
      </c>
    </row>
    <row r="124" spans="1:8">
      <c r="A124" s="404"/>
      <c r="B124" s="72">
        <v>15</v>
      </c>
      <c r="C124" s="283">
        <v>1.1377913776659982</v>
      </c>
      <c r="D124" s="283">
        <v>1.0684912757575031</v>
      </c>
      <c r="E124" s="283">
        <v>1.0094848284747298</v>
      </c>
      <c r="F124" s="283">
        <v>0.96235373098324961</v>
      </c>
      <c r="G124" s="283">
        <v>0.92046339127060295</v>
      </c>
      <c r="H124" s="283">
        <v>0.87159389588519409</v>
      </c>
    </row>
    <row r="125" spans="1:8">
      <c r="A125" s="404"/>
      <c r="B125" s="72">
        <v>16</v>
      </c>
      <c r="C125" s="283">
        <v>1.2791554405288839</v>
      </c>
      <c r="D125" s="283">
        <v>1.2021280249735313</v>
      </c>
      <c r="E125" s="283">
        <v>1.1343803226965641</v>
      </c>
      <c r="F125" s="283">
        <v>1.0807160688972737</v>
      </c>
      <c r="G125" s="283">
        <v>1.0339352232008621</v>
      </c>
      <c r="H125" s="283">
        <v>0.98009451249186441</v>
      </c>
    </row>
    <row r="126" spans="1:8">
      <c r="A126" s="404"/>
      <c r="B126" s="72">
        <v>17</v>
      </c>
      <c r="C126" s="283">
        <v>1.4277454462960804</v>
      </c>
      <c r="D126" s="283">
        <v>1.3369409730462483</v>
      </c>
      <c r="E126" s="283">
        <v>1.2600168117884192</v>
      </c>
      <c r="F126" s="283">
        <v>1.2003759480642573</v>
      </c>
      <c r="G126" s="283">
        <v>1.1451583458902206</v>
      </c>
      <c r="H126" s="283">
        <v>1.0837306026056255</v>
      </c>
    </row>
    <row r="127" spans="1:8">
      <c r="A127" s="404"/>
      <c r="B127" s="72">
        <v>18</v>
      </c>
      <c r="C127" s="283">
        <v>1.5813274189499447</v>
      </c>
      <c r="D127" s="283">
        <v>1.4817705214754127</v>
      </c>
      <c r="E127" s="283">
        <v>1.3912585506887889</v>
      </c>
      <c r="F127" s="283">
        <v>1.3241232353818213</v>
      </c>
      <c r="G127" s="283">
        <v>1.2617021423698238</v>
      </c>
      <c r="H127" s="283">
        <v>1.1915802884843909</v>
      </c>
    </row>
    <row r="128" spans="1:8">
      <c r="A128" s="404"/>
      <c r="B128" s="72">
        <v>19</v>
      </c>
      <c r="C128" s="283">
        <v>1.7202677618163884</v>
      </c>
      <c r="D128" s="283">
        <v>1.6070979805712051</v>
      </c>
      <c r="E128" s="283">
        <v>1.5069807285468055</v>
      </c>
      <c r="F128" s="283">
        <v>1.4296993223728927</v>
      </c>
      <c r="G128" s="283">
        <v>1.3610178317660946</v>
      </c>
      <c r="H128" s="283">
        <v>1.2849155308142466</v>
      </c>
    </row>
    <row r="129" spans="1:8">
      <c r="A129" s="404"/>
      <c r="B129" s="72">
        <v>20</v>
      </c>
      <c r="C129" s="283">
        <v>1.8595687870484283</v>
      </c>
      <c r="D129" s="283">
        <v>1.7328286547349561</v>
      </c>
      <c r="E129" s="283">
        <v>1.6209311212577309</v>
      </c>
      <c r="F129" s="283">
        <v>1.5340449948752306</v>
      </c>
      <c r="G129" s="283">
        <v>1.4580360611188992</v>
      </c>
      <c r="H129" s="283">
        <v>1.3712974251456778</v>
      </c>
    </row>
    <row r="130" spans="1:8">
      <c r="A130" s="404"/>
      <c r="B130" s="72">
        <v>21</v>
      </c>
      <c r="C130" s="283">
        <v>1.9632793173482268</v>
      </c>
      <c r="D130" s="283">
        <v>1.8263763879252517</v>
      </c>
      <c r="E130" s="283">
        <v>1.7071810359021429</v>
      </c>
      <c r="F130" s="283">
        <v>1.6126550743841177</v>
      </c>
      <c r="G130" s="283">
        <v>1.5308450875289561</v>
      </c>
      <c r="H130" s="283">
        <v>1.4390427323968547</v>
      </c>
    </row>
    <row r="131" spans="1:8">
      <c r="A131" s="404"/>
      <c r="B131" s="72">
        <v>22</v>
      </c>
      <c r="C131" s="283">
        <v>2.1030205666622717</v>
      </c>
      <c r="D131" s="283">
        <v>1.9509040563555935</v>
      </c>
      <c r="E131" s="283">
        <v>1.8161023302454686</v>
      </c>
      <c r="F131" s="283">
        <v>1.7134730308372108</v>
      </c>
      <c r="G131" s="283">
        <v>1.6251706196523321</v>
      </c>
      <c r="H131" s="283">
        <v>1.5231040419230244</v>
      </c>
    </row>
    <row r="132" spans="1:8">
      <c r="A132" s="404"/>
      <c r="B132" s="72">
        <v>23</v>
      </c>
      <c r="C132" s="283">
        <v>2.2411672529037134</v>
      </c>
      <c r="D132" s="283">
        <v>2.0751161889297136</v>
      </c>
      <c r="E132" s="283">
        <v>1.9254161615014447</v>
      </c>
      <c r="F132" s="283">
        <v>1.8136721742521085</v>
      </c>
      <c r="G132" s="283">
        <v>1.7153816620369657</v>
      </c>
      <c r="H132" s="283">
        <v>1.5881967931646499</v>
      </c>
    </row>
    <row r="133" spans="1:8">
      <c r="A133" s="404"/>
      <c r="B133" s="72">
        <v>24</v>
      </c>
      <c r="C133" s="283">
        <v>2.3827439404542634</v>
      </c>
      <c r="D133" s="283">
        <v>2.202110865405388</v>
      </c>
      <c r="E133" s="283">
        <v>2.0413128187416416</v>
      </c>
      <c r="F133" s="283">
        <v>1.9185983850537611</v>
      </c>
      <c r="G133" s="283">
        <v>1.8136030158353955</v>
      </c>
      <c r="H133" s="283">
        <v>1.6310572789539639</v>
      </c>
    </row>
    <row r="134" spans="1:8">
      <c r="A134" s="404"/>
      <c r="B134" s="72">
        <v>25</v>
      </c>
      <c r="C134" s="283">
        <v>2.5270519951832635</v>
      </c>
      <c r="D134" s="283">
        <v>2.33079999668433</v>
      </c>
      <c r="E134" s="283">
        <v>2.1571730764807997</v>
      </c>
      <c r="F134" s="283">
        <v>2.0234339067960279</v>
      </c>
      <c r="G134" s="283">
        <v>1.9090110226096983</v>
      </c>
      <c r="H134" s="283">
        <v>1.6634306719176208</v>
      </c>
    </row>
    <row r="135" spans="1:8">
      <c r="A135" s="404"/>
      <c r="B135" s="72">
        <v>26</v>
      </c>
      <c r="C135" s="283">
        <v>2.6853918038101146</v>
      </c>
      <c r="D135" s="283">
        <v>2.4727685652680407</v>
      </c>
      <c r="E135" s="283">
        <v>2.2820903720985495</v>
      </c>
      <c r="F135" s="283">
        <v>2.1391477430884658</v>
      </c>
      <c r="G135" s="283">
        <v>2.0162871931139144</v>
      </c>
      <c r="H135" s="283">
        <v>1.7152119953087295</v>
      </c>
    </row>
    <row r="136" spans="1:8">
      <c r="A136" s="404"/>
      <c r="B136" s="72">
        <v>27</v>
      </c>
      <c r="C136" s="283">
        <v>2.8458776862456192</v>
      </c>
      <c r="D136" s="283">
        <v>2.6207323427453848</v>
      </c>
      <c r="E136" s="283">
        <v>2.414903144507798</v>
      </c>
      <c r="F136" s="283">
        <v>2.2574027783210653</v>
      </c>
      <c r="G136" s="283">
        <v>2.1270030422344237</v>
      </c>
      <c r="H136" s="283">
        <v>1.7944827162739703</v>
      </c>
    </row>
    <row r="137" spans="1:8">
      <c r="A137" s="404"/>
      <c r="B137" s="72">
        <v>28</v>
      </c>
      <c r="C137" s="283">
        <v>3.0014017982451606</v>
      </c>
      <c r="D137" s="283">
        <v>2.7625530324112049</v>
      </c>
      <c r="E137" s="283">
        <v>2.545100539046294</v>
      </c>
      <c r="F137" s="283">
        <v>2.3778129015899863</v>
      </c>
      <c r="G137" s="283">
        <v>2.2371893268488368</v>
      </c>
      <c r="H137" s="283">
        <v>1.896058279644153</v>
      </c>
    </row>
    <row r="138" spans="1:8">
      <c r="A138" s="404"/>
      <c r="B138" s="72">
        <v>29</v>
      </c>
      <c r="C138" s="283">
        <v>3.1737035871626822</v>
      </c>
      <c r="D138" s="283">
        <v>2.9189190754297307</v>
      </c>
      <c r="E138" s="283">
        <v>2.6850968760181746</v>
      </c>
      <c r="F138" s="283">
        <v>2.5065069258067849</v>
      </c>
      <c r="G138" s="283">
        <v>2.3573471441055212</v>
      </c>
      <c r="H138" s="283">
        <v>2.0032737400273701</v>
      </c>
    </row>
    <row r="139" spans="1:8">
      <c r="A139" s="404"/>
      <c r="B139" s="72">
        <v>30</v>
      </c>
      <c r="C139" s="283">
        <v>3.3533580416532249</v>
      </c>
      <c r="D139" s="283">
        <v>3.0852578442604064</v>
      </c>
      <c r="E139" s="283">
        <v>2.8408723489551249</v>
      </c>
      <c r="F139" s="283">
        <v>2.6489490591569549</v>
      </c>
      <c r="G139" s="283">
        <v>2.4915284079166566</v>
      </c>
      <c r="H139" s="283">
        <v>2.1291735222857171</v>
      </c>
    </row>
    <row r="140" spans="1:8">
      <c r="A140" s="404"/>
      <c r="B140" s="72">
        <v>31</v>
      </c>
      <c r="C140" s="283">
        <v>3.4909271167068736</v>
      </c>
      <c r="D140" s="283">
        <v>3.2090817467520334</v>
      </c>
      <c r="E140" s="283">
        <v>2.9531344004007773</v>
      </c>
      <c r="F140" s="283">
        <v>2.7529899631202546</v>
      </c>
      <c r="G140" s="283">
        <v>2.5886717391533698</v>
      </c>
      <c r="H140" s="283">
        <v>2.2177102049798427</v>
      </c>
    </row>
    <row r="141" spans="1:8">
      <c r="A141" s="404"/>
      <c r="B141" s="72">
        <v>32</v>
      </c>
      <c r="C141" s="283">
        <v>3.717606706653132</v>
      </c>
      <c r="D141" s="283">
        <v>3.4249658916602601</v>
      </c>
      <c r="E141" s="283">
        <v>3.1501813241731083</v>
      </c>
      <c r="F141" s="283">
        <v>2.9377126269645504</v>
      </c>
      <c r="G141" s="283">
        <v>2.76171720374467</v>
      </c>
      <c r="H141" s="283">
        <v>2.3774609780472149</v>
      </c>
    </row>
    <row r="142" spans="1:8">
      <c r="A142" s="404"/>
      <c r="B142" s="72">
        <v>33</v>
      </c>
      <c r="C142" s="283">
        <v>3.9234242742556904</v>
      </c>
      <c r="D142" s="283">
        <v>3.6163978032049813</v>
      </c>
      <c r="E142" s="283">
        <v>3.3274005659863848</v>
      </c>
      <c r="F142" s="283">
        <v>3.0984837531444835</v>
      </c>
      <c r="G142" s="283">
        <v>2.9162497290096425</v>
      </c>
      <c r="H142" s="283">
        <v>2.5220322188540427</v>
      </c>
    </row>
    <row r="143" spans="1:8">
      <c r="A143" s="404"/>
      <c r="B143" s="72">
        <v>34</v>
      </c>
      <c r="C143" s="283">
        <v>4.1482601848588496</v>
      </c>
      <c r="D143" s="283">
        <v>3.8240792602372293</v>
      </c>
      <c r="E143" s="283">
        <v>3.5215540778083896</v>
      </c>
      <c r="F143" s="283">
        <v>3.281296962299332</v>
      </c>
      <c r="G143" s="283">
        <v>3.0850173214127721</v>
      </c>
      <c r="H143" s="283">
        <v>2.685152308263326</v>
      </c>
    </row>
    <row r="144" spans="1:8">
      <c r="A144" s="404"/>
      <c r="B144" s="72">
        <v>35</v>
      </c>
      <c r="C144" s="283">
        <v>4.4172566010622329</v>
      </c>
      <c r="D144" s="283">
        <v>4.0816763881716032</v>
      </c>
      <c r="E144" s="283">
        <v>3.7566301468029386</v>
      </c>
      <c r="F144" s="283">
        <v>3.4951731115238536</v>
      </c>
      <c r="G144" s="283">
        <v>3.2864730748288027</v>
      </c>
      <c r="H144" s="283">
        <v>2.8780435984475186</v>
      </c>
    </row>
    <row r="145" spans="1:8">
      <c r="A145" s="404"/>
      <c r="B145" s="72">
        <v>36</v>
      </c>
      <c r="C145" s="283">
        <v>4.6613771156323507</v>
      </c>
      <c r="D145" s="283">
        <v>4.3074080902469456</v>
      </c>
      <c r="E145" s="283">
        <v>3.9712500189697391</v>
      </c>
      <c r="F145" s="283">
        <v>3.6959010150117901</v>
      </c>
      <c r="G145" s="283">
        <v>3.4774882081035083</v>
      </c>
      <c r="H145" s="283">
        <v>3.0603520193015306</v>
      </c>
    </row>
    <row r="146" spans="1:8">
      <c r="A146" s="404"/>
      <c r="B146" s="72">
        <v>37</v>
      </c>
      <c r="C146" s="283">
        <v>4.9060549870443211</v>
      </c>
      <c r="D146" s="283">
        <v>4.5461656280923588</v>
      </c>
      <c r="E146" s="283">
        <v>4.1881986637267685</v>
      </c>
      <c r="F146" s="283">
        <v>3.899934266305741</v>
      </c>
      <c r="G146" s="283">
        <v>3.6713145151263307</v>
      </c>
      <c r="H146" s="283">
        <v>3.2458294819646101</v>
      </c>
    </row>
    <row r="147" spans="1:8">
      <c r="A147" s="404"/>
      <c r="B147" s="72">
        <v>38</v>
      </c>
      <c r="C147" s="283">
        <v>5.2048650630305575</v>
      </c>
      <c r="D147" s="283">
        <v>4.8265929215022041</v>
      </c>
      <c r="E147" s="283">
        <v>4.4580641946808885</v>
      </c>
      <c r="F147" s="283">
        <v>4.1555871089804963</v>
      </c>
      <c r="G147" s="283">
        <v>3.9131538891138407</v>
      </c>
      <c r="H147" s="283">
        <v>3.4833393437449049</v>
      </c>
    </row>
    <row r="148" spans="1:8">
      <c r="A148" s="404"/>
      <c r="B148" s="72">
        <v>39</v>
      </c>
      <c r="C148" s="283">
        <v>5.4735861073032348</v>
      </c>
      <c r="D148" s="283">
        <v>5.0869841947322065</v>
      </c>
      <c r="E148" s="283">
        <v>4.7032744685054393</v>
      </c>
      <c r="F148" s="283">
        <v>4.3827236962113307</v>
      </c>
      <c r="G148" s="283">
        <v>4.131920257174869</v>
      </c>
      <c r="H148" s="283">
        <v>3.6998835070825984</v>
      </c>
    </row>
    <row r="149" spans="1:8">
      <c r="A149" s="404"/>
      <c r="B149" s="72">
        <v>40</v>
      </c>
      <c r="C149" s="283">
        <v>5.8008203203272162</v>
      </c>
      <c r="D149" s="283">
        <v>5.402971860835061</v>
      </c>
      <c r="E149" s="283">
        <v>5.0064387321609978</v>
      </c>
      <c r="F149" s="283">
        <v>4.6692037020182493</v>
      </c>
      <c r="G149" s="283">
        <v>4.4038869246840848</v>
      </c>
      <c r="H149" s="283">
        <v>3.9720970271853036</v>
      </c>
    </row>
    <row r="150" spans="1:8">
      <c r="A150" s="404"/>
      <c r="B150" s="72">
        <v>41</v>
      </c>
      <c r="C150" s="283">
        <v>6.0494198333499725</v>
      </c>
      <c r="D150" s="283">
        <v>5.6427327240772573</v>
      </c>
      <c r="E150" s="283">
        <v>5.2291790909275351</v>
      </c>
      <c r="F150" s="283">
        <v>4.8822390892283813</v>
      </c>
      <c r="G150" s="283">
        <v>4.6041297601515874</v>
      </c>
      <c r="H150" s="283">
        <v>4.1731917788899091</v>
      </c>
    </row>
    <row r="151" spans="1:8">
      <c r="A151" s="404"/>
      <c r="B151" s="72">
        <v>42</v>
      </c>
      <c r="C151" s="283">
        <v>6.4053950203314596</v>
      </c>
      <c r="D151" s="283">
        <v>5.9949847209781852</v>
      </c>
      <c r="E151" s="283">
        <v>5.5729388846647989</v>
      </c>
      <c r="F151" s="283">
        <v>5.207342569662238</v>
      </c>
      <c r="G151" s="283">
        <v>4.9195339295856746</v>
      </c>
      <c r="H151" s="283">
        <v>4.4831350163272736</v>
      </c>
    </row>
    <row r="152" spans="1:8">
      <c r="A152" s="404"/>
      <c r="B152" s="72">
        <v>43</v>
      </c>
      <c r="C152" s="283">
        <v>6.7162144169222637</v>
      </c>
      <c r="D152" s="283">
        <v>6.2929113134363135</v>
      </c>
      <c r="E152" s="283">
        <v>5.8585681986827831</v>
      </c>
      <c r="F152" s="283">
        <v>5.47058867777264</v>
      </c>
      <c r="G152" s="283">
        <v>5.1762875212109272</v>
      </c>
      <c r="H152" s="283">
        <v>4.7344576820850852</v>
      </c>
    </row>
    <row r="153" spans="1:8">
      <c r="A153" s="404"/>
      <c r="B153" s="72">
        <v>44</v>
      </c>
      <c r="C153" s="283">
        <v>7.0632040740628481</v>
      </c>
      <c r="D153" s="283">
        <v>6.6316076989940331</v>
      </c>
      <c r="E153" s="283">
        <v>6.1791369624078927</v>
      </c>
      <c r="F153" s="283">
        <v>5.7773314070680337</v>
      </c>
      <c r="G153" s="283">
        <v>5.4692682592824262</v>
      </c>
      <c r="H153" s="283">
        <v>5.0200943525489317</v>
      </c>
    </row>
    <row r="154" spans="1:8">
      <c r="A154" s="404"/>
      <c r="B154" s="72">
        <v>45</v>
      </c>
      <c r="C154" s="283">
        <v>7.4867507676597853</v>
      </c>
      <c r="D154" s="283">
        <v>7.0491131504722349</v>
      </c>
      <c r="E154" s="283">
        <v>6.5768424825039249</v>
      </c>
      <c r="F154" s="283">
        <v>6.153994438224732</v>
      </c>
      <c r="G154" s="283">
        <v>5.8288136362873999</v>
      </c>
      <c r="H154" s="283">
        <v>5.3714342307213112</v>
      </c>
    </row>
    <row r="155" spans="1:8">
      <c r="A155" s="404"/>
      <c r="B155" s="72">
        <v>46</v>
      </c>
      <c r="C155" s="283">
        <v>7.8787053258039821</v>
      </c>
      <c r="D155" s="283">
        <v>7.4337294207962072</v>
      </c>
      <c r="E155" s="283">
        <v>6.9465303453970497</v>
      </c>
      <c r="F155" s="283">
        <v>6.4982733208980319</v>
      </c>
      <c r="G155" s="283">
        <v>6.1646225690994303</v>
      </c>
      <c r="H155" s="283">
        <v>5.7012398324270084</v>
      </c>
    </row>
    <row r="156" spans="1:8">
      <c r="A156" s="404"/>
      <c r="B156" s="72">
        <v>47</v>
      </c>
      <c r="C156" s="283">
        <v>8.3604122830977428</v>
      </c>
      <c r="D156" s="283">
        <v>7.8913562093396035</v>
      </c>
      <c r="E156" s="283">
        <v>7.3846106290962696</v>
      </c>
      <c r="F156" s="283">
        <v>6.9172572460372557</v>
      </c>
      <c r="G156" s="283">
        <v>6.5651326956440768</v>
      </c>
      <c r="H156" s="283">
        <v>6.0906672052359951</v>
      </c>
    </row>
    <row r="157" spans="1:8">
      <c r="A157" s="404"/>
      <c r="B157" s="72">
        <v>48</v>
      </c>
      <c r="C157" s="283">
        <v>8.9250835099300652</v>
      </c>
      <c r="D157" s="283">
        <v>8.4493192957995156</v>
      </c>
      <c r="E157" s="283">
        <v>7.9139727285674324</v>
      </c>
      <c r="F157" s="283">
        <v>7.4239791114559841</v>
      </c>
      <c r="G157" s="283">
        <v>7.0464326243618869</v>
      </c>
      <c r="H157" s="283">
        <v>6.57585442843589</v>
      </c>
    </row>
    <row r="158" spans="1:8">
      <c r="A158" s="404"/>
      <c r="B158" s="72">
        <v>49</v>
      </c>
      <c r="C158" s="283">
        <v>9.483188564888696</v>
      </c>
      <c r="D158" s="283">
        <v>8.9957540090169665</v>
      </c>
      <c r="E158" s="283">
        <v>8.4463606629343229</v>
      </c>
      <c r="F158" s="283">
        <v>7.9231961138194418</v>
      </c>
      <c r="G158" s="283">
        <v>7.5277630080206857</v>
      </c>
      <c r="H158" s="283">
        <v>7.0536391882980789</v>
      </c>
    </row>
    <row r="159" spans="1:8">
      <c r="A159" s="404"/>
      <c r="B159" s="72">
        <v>50</v>
      </c>
      <c r="C159" s="283">
        <v>10.191941830521939</v>
      </c>
      <c r="D159" s="283">
        <v>9.6866582315212817</v>
      </c>
      <c r="E159" s="283">
        <v>9.1149604501804244</v>
      </c>
      <c r="F159" s="283">
        <v>8.5632063848107052</v>
      </c>
      <c r="G159" s="283">
        <v>8.149629176811116</v>
      </c>
      <c r="H159" s="283">
        <v>7.6754653952946423</v>
      </c>
    </row>
    <row r="160" spans="1:8">
      <c r="A160" s="404"/>
      <c r="B160" s="72">
        <v>51</v>
      </c>
      <c r="C160" s="283">
        <v>10.696087885449252</v>
      </c>
      <c r="D160" s="283">
        <v>10.177207792795796</v>
      </c>
      <c r="E160" s="283">
        <v>9.58403292203249</v>
      </c>
      <c r="F160" s="283">
        <v>9.0075648956590211</v>
      </c>
      <c r="G160" s="283">
        <v>8.5799094398714875</v>
      </c>
      <c r="H160" s="283">
        <v>8.1172829052147915</v>
      </c>
    </row>
    <row r="161" spans="1:8">
      <c r="A161" s="404"/>
      <c r="B161" s="72">
        <v>52</v>
      </c>
      <c r="C161" s="283">
        <v>11.4845977532592</v>
      </c>
      <c r="D161" s="283">
        <v>10.959070788826336</v>
      </c>
      <c r="E161" s="283">
        <v>10.3381502913017</v>
      </c>
      <c r="F161" s="283">
        <v>9.7383363118487374</v>
      </c>
      <c r="G161" s="283">
        <v>9.2830012773598654</v>
      </c>
      <c r="H161" s="283">
        <v>8.8222562224021885</v>
      </c>
    </row>
    <row r="162" spans="1:8">
      <c r="A162" s="404"/>
      <c r="B162" s="72">
        <v>53</v>
      </c>
      <c r="C162" s="283">
        <v>12.117405458394616</v>
      </c>
      <c r="D162" s="283">
        <v>11.584980097480823</v>
      </c>
      <c r="E162" s="283">
        <v>10.951511339504263</v>
      </c>
      <c r="F162" s="283">
        <v>10.312655853428568</v>
      </c>
      <c r="G162" s="283">
        <v>9.8450172241477265</v>
      </c>
      <c r="H162" s="283">
        <v>9.3802343094294685</v>
      </c>
    </row>
    <row r="163" spans="1:8">
      <c r="A163" s="404"/>
      <c r="B163" s="72">
        <v>54</v>
      </c>
      <c r="C163" s="283">
        <v>12.878702411350682</v>
      </c>
      <c r="D163" s="283">
        <v>12.3366924669879</v>
      </c>
      <c r="E163" s="283">
        <v>11.670923493015264</v>
      </c>
      <c r="F163" s="283">
        <v>11.007018970271048</v>
      </c>
      <c r="G163" s="283">
        <v>10.516326231621035</v>
      </c>
      <c r="H163" s="283">
        <v>10.063218542084948</v>
      </c>
    </row>
    <row r="164" spans="1:8">
      <c r="A164" s="404"/>
      <c r="B164" s="72">
        <v>55</v>
      </c>
      <c r="C164" s="283">
        <v>13.673685310587068</v>
      </c>
      <c r="D164" s="283">
        <v>13.098750159759639</v>
      </c>
      <c r="E164" s="283">
        <v>12.421011722258767</v>
      </c>
      <c r="F164" s="283">
        <v>11.710156713440519</v>
      </c>
      <c r="G164" s="283">
        <v>11.206695143200257</v>
      </c>
      <c r="H164" s="283">
        <v>10.748783376989323</v>
      </c>
    </row>
    <row r="165" spans="1:8">
      <c r="A165" s="404"/>
      <c r="B165" s="72">
        <v>56</v>
      </c>
      <c r="C165" s="283">
        <v>14.57489274105729</v>
      </c>
      <c r="D165" s="283">
        <v>14.000084667240206</v>
      </c>
      <c r="E165" s="283">
        <v>13.279132678313841</v>
      </c>
      <c r="F165" s="283">
        <v>12.543121717139485</v>
      </c>
      <c r="G165" s="283">
        <v>12.008554276237748</v>
      </c>
      <c r="H165" s="283">
        <v>11.550922875752317</v>
      </c>
    </row>
    <row r="166" spans="1:8">
      <c r="A166" s="404"/>
      <c r="B166" s="72">
        <v>57</v>
      </c>
      <c r="C166" s="283">
        <v>15.517335996695733</v>
      </c>
      <c r="D166" s="283">
        <v>14.92047670554277</v>
      </c>
      <c r="E166" s="283">
        <v>14.166599358809496</v>
      </c>
      <c r="F166" s="283">
        <v>13.40019783350907</v>
      </c>
      <c r="G166" s="283">
        <v>12.829206142057389</v>
      </c>
      <c r="H166" s="283">
        <v>12.381047100637211</v>
      </c>
    </row>
    <row r="167" spans="1:8">
      <c r="A167" s="404"/>
      <c r="B167" s="72">
        <v>58</v>
      </c>
      <c r="C167" s="283">
        <v>16.688858584110221</v>
      </c>
      <c r="D167" s="283">
        <v>16.080969045473413</v>
      </c>
      <c r="E167" s="283">
        <v>15.30670421828999</v>
      </c>
      <c r="F167" s="283">
        <v>14.476952240510318</v>
      </c>
      <c r="G167" s="283">
        <v>13.891020625161966</v>
      </c>
      <c r="H167" s="283">
        <v>13.430899583481263</v>
      </c>
    </row>
    <row r="168" spans="1:8">
      <c r="A168" s="404"/>
      <c r="B168" s="72">
        <v>59</v>
      </c>
      <c r="C168" s="283">
        <v>17.905084017213571</v>
      </c>
      <c r="D168" s="283">
        <v>17.263963755877963</v>
      </c>
      <c r="E168" s="283">
        <v>16.445835581191012</v>
      </c>
      <c r="F168" s="283">
        <v>15.585542027587916</v>
      </c>
      <c r="G168" s="283">
        <v>14.958620950440197</v>
      </c>
      <c r="H168" s="283">
        <v>14.496611327949379</v>
      </c>
    </row>
    <row r="169" spans="1:8">
      <c r="A169" s="404"/>
      <c r="B169" s="72">
        <v>60</v>
      </c>
      <c r="C169" s="283">
        <v>19.55964887599113</v>
      </c>
      <c r="D169" s="283">
        <v>18.908309244328152</v>
      </c>
      <c r="E169" s="283">
        <v>18.059265538348917</v>
      </c>
      <c r="F169" s="283">
        <v>17.119112451421231</v>
      </c>
      <c r="G169" s="283">
        <v>16.469500459007339</v>
      </c>
      <c r="H169" s="283">
        <v>16.006813296439613</v>
      </c>
    </row>
    <row r="170" spans="1:8">
      <c r="A170" s="404"/>
      <c r="B170" s="72">
        <v>61</v>
      </c>
      <c r="C170" s="283">
        <v>20.889020208515866</v>
      </c>
      <c r="D170" s="283">
        <v>20.190449485099464</v>
      </c>
      <c r="E170" s="283">
        <v>19.29975555970114</v>
      </c>
      <c r="F170" s="283">
        <v>18.304204975342486</v>
      </c>
      <c r="G170" s="283">
        <v>17.605446535791</v>
      </c>
      <c r="H170" s="283">
        <v>17.150418106843457</v>
      </c>
    </row>
    <row r="171" spans="1:8">
      <c r="A171" s="404"/>
      <c r="B171" s="72">
        <v>62</v>
      </c>
      <c r="C171" s="283">
        <v>22.862947072332268</v>
      </c>
      <c r="D171" s="283">
        <v>22.143089724114386</v>
      </c>
      <c r="E171" s="283">
        <v>21.189747798817287</v>
      </c>
      <c r="F171" s="283">
        <v>20.13241651744346</v>
      </c>
      <c r="G171" s="283">
        <v>19.396042953103365</v>
      </c>
      <c r="H171" s="283">
        <v>18.920121264043342</v>
      </c>
    </row>
    <row r="172" spans="1:8">
      <c r="A172" s="404"/>
      <c r="B172" s="72">
        <v>63</v>
      </c>
      <c r="C172" s="283">
        <v>24.771256109502669</v>
      </c>
      <c r="D172" s="283">
        <v>24.008551600254808</v>
      </c>
      <c r="E172" s="283">
        <v>23.016107275257532</v>
      </c>
      <c r="F172" s="283">
        <v>21.873364753638104</v>
      </c>
      <c r="G172" s="283">
        <v>21.077396736941608</v>
      </c>
      <c r="H172" s="283">
        <v>20.586181632025216</v>
      </c>
    </row>
    <row r="173" spans="1:8">
      <c r="A173" s="404"/>
      <c r="B173" s="72">
        <v>64</v>
      </c>
      <c r="C173" s="283">
        <v>26.922296214396749</v>
      </c>
      <c r="D173" s="283">
        <v>26.124188262250289</v>
      </c>
      <c r="E173" s="283">
        <v>25.056838837888243</v>
      </c>
      <c r="F173" s="283">
        <v>23.844655897922376</v>
      </c>
      <c r="G173" s="283">
        <v>23.003508043452843</v>
      </c>
      <c r="H173" s="283">
        <v>22.481432354107067</v>
      </c>
    </row>
    <row r="174" spans="1:8">
      <c r="A174" s="404"/>
      <c r="B174" s="72">
        <v>65</v>
      </c>
      <c r="C174" s="283">
        <v>29.373992548313659</v>
      </c>
      <c r="D174" s="283">
        <v>28.528899890628949</v>
      </c>
      <c r="E174" s="283">
        <v>27.388586660211466</v>
      </c>
      <c r="F174" s="283">
        <v>26.089180239170911</v>
      </c>
      <c r="G174" s="283">
        <v>25.173487276036738</v>
      </c>
      <c r="H174" s="283">
        <v>24.625442195885846</v>
      </c>
    </row>
    <row r="175" spans="1:8">
      <c r="A175" s="404"/>
      <c r="B175" s="72">
        <v>66</v>
      </c>
      <c r="C175" s="283">
        <v>30.996701258257456</v>
      </c>
      <c r="D175" s="283">
        <v>30.124991358943653</v>
      </c>
      <c r="E175" s="283">
        <v>28.955150073918794</v>
      </c>
      <c r="F175" s="283">
        <v>27.633327791318962</v>
      </c>
      <c r="G175" s="283">
        <v>26.709709847526433</v>
      </c>
      <c r="H175" s="283">
        <v>26.128992071244884</v>
      </c>
    </row>
    <row r="176" spans="1:8">
      <c r="A176" s="404"/>
      <c r="B176" s="72">
        <v>67</v>
      </c>
      <c r="C176" s="283">
        <v>33.023683373027296</v>
      </c>
      <c r="D176" s="283">
        <v>32.141532298854052</v>
      </c>
      <c r="E176" s="283">
        <v>30.961943325476881</v>
      </c>
      <c r="F176" s="283">
        <v>29.60937193193698</v>
      </c>
      <c r="G176" s="283">
        <v>28.652222547802882</v>
      </c>
      <c r="H176" s="283">
        <v>28.055611487774481</v>
      </c>
    </row>
    <row r="177" spans="1:8">
      <c r="A177" s="404"/>
      <c r="B177" s="72">
        <v>68</v>
      </c>
      <c r="C177" s="283">
        <v>35.379984516208978</v>
      </c>
      <c r="D177" s="283">
        <v>34.474718896032634</v>
      </c>
      <c r="E177" s="283">
        <v>33.265549192171378</v>
      </c>
      <c r="F177" s="283">
        <v>31.909219112010138</v>
      </c>
      <c r="G177" s="283">
        <v>30.917863340311456</v>
      </c>
      <c r="H177" s="283">
        <v>30.270407313187462</v>
      </c>
    </row>
    <row r="178" spans="1:8">
      <c r="A178" s="404"/>
      <c r="B178" s="72">
        <v>69</v>
      </c>
      <c r="C178" s="283">
        <v>37.706059028442915</v>
      </c>
      <c r="D178" s="283">
        <v>36.773747884641551</v>
      </c>
      <c r="E178" s="283">
        <v>35.55238126127626</v>
      </c>
      <c r="F178" s="283">
        <v>34.164786153275408</v>
      </c>
      <c r="G178" s="283">
        <v>33.158728737784344</v>
      </c>
      <c r="H178" s="283">
        <v>32.384263128162196</v>
      </c>
    </row>
    <row r="179" spans="1:8">
      <c r="A179" s="404"/>
      <c r="B179" s="72">
        <v>70</v>
      </c>
      <c r="C179" s="283">
        <v>41.179707740769679</v>
      </c>
      <c r="D179" s="283">
        <v>40.237305332662437</v>
      </c>
      <c r="E179" s="283">
        <v>39.014152400764978</v>
      </c>
      <c r="F179" s="283">
        <v>37.585703825250022</v>
      </c>
      <c r="G179" s="283">
        <v>36.577354401625357</v>
      </c>
      <c r="H179" s="283">
        <v>35.652289329290682</v>
      </c>
    </row>
    <row r="180" spans="1:8">
      <c r="A180" s="404"/>
      <c r="B180" s="72">
        <v>71</v>
      </c>
      <c r="C180" s="283">
        <v>43.354679702711202</v>
      </c>
      <c r="D180" s="283">
        <v>42.386585401819886</v>
      </c>
      <c r="E180" s="283">
        <v>41.136371865300966</v>
      </c>
      <c r="F180" s="283">
        <v>39.732697911258128</v>
      </c>
      <c r="G180" s="283">
        <v>38.683456609588511</v>
      </c>
      <c r="H180" s="283">
        <v>37.583299251272642</v>
      </c>
    </row>
    <row r="181" spans="1:8">
      <c r="A181" s="404"/>
      <c r="B181" s="72">
        <v>72</v>
      </c>
      <c r="C181" s="283">
        <v>47.327349388037227</v>
      </c>
      <c r="D181" s="283">
        <v>46.363478912499616</v>
      </c>
      <c r="E181" s="283">
        <v>45.105648044979404</v>
      </c>
      <c r="F181" s="283">
        <v>43.694417573877651</v>
      </c>
      <c r="G181" s="283">
        <v>42.610800047576184</v>
      </c>
      <c r="H181" s="283">
        <v>41.339389848347665</v>
      </c>
    </row>
    <row r="182" spans="1:8">
      <c r="A182" s="404"/>
      <c r="B182" s="72">
        <v>73</v>
      </c>
      <c r="C182" s="283">
        <v>50.671359750205312</v>
      </c>
      <c r="D182" s="283">
        <v>49.702968620429068</v>
      </c>
      <c r="E182" s="283">
        <v>48.448063197113449</v>
      </c>
      <c r="F182" s="283">
        <v>47.032966906875643</v>
      </c>
      <c r="G182" s="283">
        <v>45.956932848424728</v>
      </c>
      <c r="H182" s="283">
        <v>44.441265271615684</v>
      </c>
    </row>
    <row r="183" spans="1:8">
      <c r="A183" s="404"/>
      <c r="B183" s="72">
        <v>74</v>
      </c>
      <c r="C183" s="283">
        <v>54.4981944717115</v>
      </c>
      <c r="D183" s="283">
        <v>53.512950336691972</v>
      </c>
      <c r="E183" s="283">
        <v>52.264543951884598</v>
      </c>
      <c r="F183" s="283">
        <v>50.878753044591036</v>
      </c>
      <c r="G183" s="283">
        <v>49.770558595684811</v>
      </c>
      <c r="H183" s="283">
        <v>47.933579992453986</v>
      </c>
    </row>
    <row r="184" spans="1:8">
      <c r="A184" s="404"/>
      <c r="B184" s="72">
        <v>75</v>
      </c>
      <c r="C184" s="283">
        <v>58.726637836092415</v>
      </c>
      <c r="D184" s="283">
        <v>57.710818240548754</v>
      </c>
      <c r="E184" s="283">
        <v>56.483252489658554</v>
      </c>
      <c r="F184" s="283">
        <v>55.134530694393376</v>
      </c>
      <c r="G184" s="283">
        <v>54.032014243844955</v>
      </c>
      <c r="H184" s="283">
        <v>51.788529814060553</v>
      </c>
    </row>
    <row r="185" spans="1:8">
      <c r="A185" s="404"/>
      <c r="B185" s="72">
        <v>76</v>
      </c>
      <c r="C185" s="283">
        <v>62.563401924570755</v>
      </c>
      <c r="D185" s="283">
        <v>61.561776941268953</v>
      </c>
      <c r="E185" s="283">
        <v>60.360316463202679</v>
      </c>
      <c r="F185" s="283">
        <v>59.058382468136671</v>
      </c>
      <c r="G185" s="283">
        <v>57.969053008809027</v>
      </c>
      <c r="H185" s="283">
        <v>55.321768758559692</v>
      </c>
    </row>
    <row r="186" spans="1:8">
      <c r="A186" s="404"/>
      <c r="B186" s="72">
        <v>77</v>
      </c>
      <c r="C186" s="283">
        <v>66.701618092637545</v>
      </c>
      <c r="D186" s="283">
        <v>65.655169024762571</v>
      </c>
      <c r="E186" s="283">
        <v>64.508039936837548</v>
      </c>
      <c r="F186" s="283">
        <v>63.268743007624181</v>
      </c>
      <c r="G186" s="283">
        <v>62.23016011949786</v>
      </c>
      <c r="H186" s="283">
        <v>59.182473730207647</v>
      </c>
    </row>
    <row r="187" spans="1:8">
      <c r="A187" s="404"/>
      <c r="B187" s="72">
        <v>78</v>
      </c>
      <c r="C187" s="283">
        <v>72.135109957644218</v>
      </c>
      <c r="D187" s="283">
        <v>71.104315316611945</v>
      </c>
      <c r="E187" s="283">
        <v>70.04453293881987</v>
      </c>
      <c r="F187" s="283">
        <v>68.87791830689288</v>
      </c>
      <c r="G187" s="283">
        <v>67.839760409218485</v>
      </c>
      <c r="H187" s="283">
        <v>64.263335059013272</v>
      </c>
    </row>
    <row r="188" spans="1:8">
      <c r="A188" s="404"/>
      <c r="B188" s="72">
        <v>79</v>
      </c>
      <c r="C188" s="283">
        <v>76.522697827979073</v>
      </c>
      <c r="D188" s="283">
        <v>75.503344767940234</v>
      </c>
      <c r="E188" s="283">
        <v>74.514383007998788</v>
      </c>
      <c r="F188" s="283">
        <v>73.452698843700119</v>
      </c>
      <c r="G188" s="283">
        <v>72.486595553590803</v>
      </c>
      <c r="H188" s="283">
        <v>68.286955679750378</v>
      </c>
    </row>
    <row r="189" spans="1:8">
      <c r="A189" s="404"/>
      <c r="B189" s="72">
        <v>80</v>
      </c>
      <c r="C189" s="283">
        <v>82.541985173594796</v>
      </c>
      <c r="D189" s="283">
        <v>81.596105412162416</v>
      </c>
      <c r="E189" s="283">
        <v>80.640854882469355</v>
      </c>
      <c r="F189" s="283">
        <v>79.716507614023556</v>
      </c>
      <c r="G189" s="283">
        <v>78.809866229922889</v>
      </c>
      <c r="H189" s="283">
        <v>73.910342484602708</v>
      </c>
    </row>
    <row r="190" spans="1:8">
      <c r="A190" s="404"/>
      <c r="B190" s="72">
        <v>81</v>
      </c>
      <c r="C190" s="283">
        <v>87.880675256420659</v>
      </c>
      <c r="D190" s="283">
        <v>86.908116142528826</v>
      </c>
      <c r="E190" s="283">
        <v>85.935097712009792</v>
      </c>
      <c r="F190" s="283">
        <v>84.977047964771799</v>
      </c>
      <c r="G190" s="283">
        <v>84.048698155014065</v>
      </c>
      <c r="H190" s="283">
        <v>78.590169192099012</v>
      </c>
    </row>
    <row r="191" spans="1:8">
      <c r="A191" s="404"/>
      <c r="B191" s="72">
        <v>82</v>
      </c>
      <c r="C191" s="283">
        <v>99.192657760703597</v>
      </c>
      <c r="D191" s="283">
        <v>98.108089782560796</v>
      </c>
      <c r="E191" s="283">
        <v>97.065890964691079</v>
      </c>
      <c r="F191" s="283">
        <v>96.02622115011998</v>
      </c>
      <c r="G191" s="283">
        <v>94.986625551295617</v>
      </c>
      <c r="H191" s="283">
        <v>89.204308046911962</v>
      </c>
    </row>
    <row r="192" spans="1:8">
      <c r="A192" s="404"/>
      <c r="B192" s="72">
        <v>83</v>
      </c>
      <c r="C192" s="283">
        <v>108.97658728731179</v>
      </c>
      <c r="D192" s="283">
        <v>107.88287544998212</v>
      </c>
      <c r="E192" s="283">
        <v>106.72627710952572</v>
      </c>
      <c r="F192" s="283">
        <v>105.63630734270377</v>
      </c>
      <c r="G192" s="283">
        <v>104.55134226114741</v>
      </c>
      <c r="H192" s="283">
        <v>100.26761654986448</v>
      </c>
    </row>
    <row r="193" spans="1:8">
      <c r="A193" s="404"/>
      <c r="B193" s="72">
        <v>84</v>
      </c>
      <c r="C193" s="283">
        <v>120.64920074002013</v>
      </c>
      <c r="D193" s="283">
        <v>119.4711054736326</v>
      </c>
      <c r="E193" s="283">
        <v>118.25608342635451</v>
      </c>
      <c r="F193" s="283">
        <v>117.06138071005554</v>
      </c>
      <c r="G193" s="283">
        <v>115.95100212100678</v>
      </c>
      <c r="H193" s="283">
        <v>115.43668411589225</v>
      </c>
    </row>
    <row r="194" spans="1:8">
      <c r="A194" s="404"/>
      <c r="B194" s="72">
        <v>85</v>
      </c>
      <c r="C194" s="283">
        <v>131.68833648405044</v>
      </c>
      <c r="D194" s="283">
        <v>130.41232136462895</v>
      </c>
      <c r="E194" s="283">
        <v>129.09771865366849</v>
      </c>
      <c r="F194" s="283">
        <v>127.82265990056857</v>
      </c>
      <c r="G194" s="283">
        <v>126.64648845423874</v>
      </c>
      <c r="H194" s="283">
        <v>131.0399237594888</v>
      </c>
    </row>
    <row r="195" spans="1:8">
      <c r="A195" s="404"/>
      <c r="B195" s="72">
        <v>86</v>
      </c>
      <c r="C195" s="283">
        <v>143.29201094170722</v>
      </c>
      <c r="D195" s="283">
        <v>141.88750886143796</v>
      </c>
      <c r="E195" s="283">
        <v>140.5538679401968</v>
      </c>
      <c r="F195" s="283">
        <v>139.34409122833316</v>
      </c>
      <c r="G195" s="283">
        <v>138.04111940666797</v>
      </c>
      <c r="H195" s="283">
        <v>147.18345315363561</v>
      </c>
    </row>
    <row r="196" spans="1:8">
      <c r="A196" s="404"/>
      <c r="B196" s="72">
        <v>87</v>
      </c>
      <c r="C196" s="283">
        <v>155.03700092378895</v>
      </c>
      <c r="D196" s="283">
        <v>153.63011234310599</v>
      </c>
      <c r="E196" s="283">
        <v>152.36331053652233</v>
      </c>
      <c r="F196" s="283">
        <v>150.93856667235107</v>
      </c>
      <c r="G196" s="283">
        <v>149.66768212732646</v>
      </c>
      <c r="H196" s="283">
        <v>162.11592014978766</v>
      </c>
    </row>
    <row r="197" spans="1:8">
      <c r="A197" s="404"/>
      <c r="B197" s="72">
        <v>88</v>
      </c>
      <c r="C197" s="283">
        <v>168.66244449317199</v>
      </c>
      <c r="D197" s="283">
        <v>167.17782719076118</v>
      </c>
      <c r="E197" s="283">
        <v>165.76189174189165</v>
      </c>
      <c r="F197" s="283">
        <v>164.39774254349661</v>
      </c>
      <c r="G197" s="283">
        <v>162.92033145402485</v>
      </c>
      <c r="H197" s="283">
        <v>177.66356549479966</v>
      </c>
    </row>
    <row r="198" spans="1:8">
      <c r="A198" s="404"/>
      <c r="B198" s="72">
        <v>89</v>
      </c>
      <c r="C198" s="283">
        <v>181.15566778517382</v>
      </c>
      <c r="D198" s="283">
        <v>179.65496712781905</v>
      </c>
      <c r="E198" s="283">
        <v>178.21183434525574</v>
      </c>
      <c r="F198" s="283">
        <v>176.67772465266646</v>
      </c>
      <c r="G198" s="283">
        <v>175.3709955241799</v>
      </c>
      <c r="H198" s="283">
        <v>191.72103654985253</v>
      </c>
    </row>
    <row r="199" spans="1:8">
      <c r="A199" s="404"/>
      <c r="B199" s="72">
        <v>90</v>
      </c>
      <c r="C199" s="283">
        <v>199.93547719376573</v>
      </c>
      <c r="D199" s="283">
        <v>198.41478150304903</v>
      </c>
      <c r="E199" s="283">
        <v>196.85737789505953</v>
      </c>
      <c r="F199" s="283">
        <v>195.22354415821309</v>
      </c>
      <c r="G199" s="283">
        <v>193.88221732004752</v>
      </c>
      <c r="H199" s="283">
        <v>211.61645636196832</v>
      </c>
    </row>
    <row r="200" spans="1:8">
      <c r="A200" s="404"/>
      <c r="B200" s="72">
        <v>91</v>
      </c>
      <c r="C200" s="283">
        <v>209.98788776929845</v>
      </c>
      <c r="D200" s="283">
        <v>208.49857328289613</v>
      </c>
      <c r="E200" s="283">
        <v>206.74754890576276</v>
      </c>
      <c r="F200" s="283">
        <v>205.1501374747458</v>
      </c>
      <c r="G200" s="283">
        <v>203.78184218390777</v>
      </c>
      <c r="H200" s="283">
        <v>223.14818802232932</v>
      </c>
    </row>
    <row r="201" spans="1:8">
      <c r="A201" s="404"/>
      <c r="B201" s="72">
        <v>92</v>
      </c>
      <c r="C201" s="283">
        <v>229.62402819179866</v>
      </c>
      <c r="D201" s="283">
        <v>228.06022936173738</v>
      </c>
      <c r="E201" s="283">
        <v>226.29209273140088</v>
      </c>
      <c r="F201" s="283">
        <v>224.45370210967417</v>
      </c>
      <c r="G201" s="283">
        <v>223.03647966251711</v>
      </c>
      <c r="H201" s="283">
        <v>244.35869089657524</v>
      </c>
    </row>
    <row r="202" spans="1:8">
      <c r="A202" s="404"/>
      <c r="B202" s="72">
        <v>93</v>
      </c>
      <c r="C202" s="283">
        <v>246.63769355013048</v>
      </c>
      <c r="D202" s="283">
        <v>245.06778128203811</v>
      </c>
      <c r="E202" s="283">
        <v>243.32343294357307</v>
      </c>
      <c r="F202" s="283">
        <v>241.80202847768612</v>
      </c>
      <c r="G202" s="283">
        <v>239.94083267055149</v>
      </c>
      <c r="H202" s="283">
        <v>263.55024175657007</v>
      </c>
    </row>
    <row r="203" spans="1:8">
      <c r="A203" s="404"/>
      <c r="B203" s="72">
        <v>94</v>
      </c>
      <c r="C203" s="283">
        <v>265.98694781189812</v>
      </c>
      <c r="D203" s="283">
        <v>263.81400581836954</v>
      </c>
      <c r="E203" s="283">
        <v>262.19128919359446</v>
      </c>
      <c r="F203" s="283">
        <v>260.22262653100103</v>
      </c>
      <c r="G203" s="283">
        <v>258.74292829623408</v>
      </c>
      <c r="H203" s="283">
        <v>285.22466921055388</v>
      </c>
    </row>
    <row r="204" spans="1:8">
      <c r="A204" s="404"/>
      <c r="B204" s="72">
        <v>95</v>
      </c>
      <c r="C204" s="283">
        <v>287.88183590036459</v>
      </c>
      <c r="D204" s="283">
        <v>285.47225560163082</v>
      </c>
      <c r="E204" s="283">
        <v>283.95856850919029</v>
      </c>
      <c r="F204" s="283">
        <v>281.86242839674446</v>
      </c>
      <c r="G204" s="283">
        <v>279.8617777808148</v>
      </c>
      <c r="H204" s="283">
        <v>309.54444044684158</v>
      </c>
    </row>
    <row r="205" spans="1:8">
      <c r="A205" s="404"/>
      <c r="B205" s="72">
        <v>96</v>
      </c>
      <c r="C205" s="283">
        <v>307.14470009529555</v>
      </c>
      <c r="D205" s="283">
        <v>304.76615402450807</v>
      </c>
      <c r="E205" s="283">
        <v>303.17255021348575</v>
      </c>
      <c r="F205" s="283">
        <v>300.56290181768753</v>
      </c>
      <c r="G205" s="283">
        <v>298.92383485875303</v>
      </c>
      <c r="H205" s="283">
        <v>331.0548062966684</v>
      </c>
    </row>
    <row r="206" spans="1:8">
      <c r="A206" s="404"/>
      <c r="B206" s="72">
        <v>97</v>
      </c>
      <c r="C206" s="283">
        <v>325.50829886175865</v>
      </c>
      <c r="D206" s="283">
        <v>323.72979900866682</v>
      </c>
      <c r="E206" s="283">
        <v>321.85598511227937</v>
      </c>
      <c r="F206" s="283">
        <v>320.15268153157359</v>
      </c>
      <c r="G206" s="283">
        <v>317.73557183309885</v>
      </c>
      <c r="H206" s="283">
        <v>352.04999389118228</v>
      </c>
    </row>
    <row r="207" spans="1:8">
      <c r="A207" s="404"/>
      <c r="B207" s="72">
        <v>98</v>
      </c>
      <c r="C207" s="283">
        <v>343.20340174967379</v>
      </c>
      <c r="D207" s="283">
        <v>342.07227487667603</v>
      </c>
      <c r="E207" s="283">
        <v>340.73179317152017</v>
      </c>
      <c r="F207" s="283">
        <v>339.19055620542719</v>
      </c>
      <c r="G207" s="283">
        <v>335.46715891240143</v>
      </c>
      <c r="H207" s="283">
        <v>374.33106518410329</v>
      </c>
    </row>
    <row r="208" spans="1:8">
      <c r="A208" s="404"/>
      <c r="B208" s="72">
        <v>99</v>
      </c>
      <c r="C208" s="283">
        <v>368.36279378501911</v>
      </c>
      <c r="D208" s="283">
        <v>365.34224653037882</v>
      </c>
      <c r="E208" s="283">
        <v>362.65407186105114</v>
      </c>
      <c r="F208" s="283">
        <v>360.96546704928613</v>
      </c>
      <c r="G208" s="283">
        <v>359.62620847927849</v>
      </c>
      <c r="H208" s="283">
        <v>400.20487958567611</v>
      </c>
    </row>
    <row r="209" spans="1:8">
      <c r="A209" s="405"/>
      <c r="B209" s="72">
        <v>100</v>
      </c>
      <c r="C209" s="283">
        <v>423.98207477916816</v>
      </c>
      <c r="D209" s="283">
        <v>423.13482806300834</v>
      </c>
      <c r="E209" s="283">
        <v>421.52301951675952</v>
      </c>
      <c r="F209" s="283">
        <v>418.87011273184049</v>
      </c>
      <c r="G209" s="283">
        <v>417.04987069521627</v>
      </c>
      <c r="H209" s="283">
        <v>462.88617626071004</v>
      </c>
    </row>
    <row r="212" spans="1:8" ht="14.4" thickBot="1">
      <c r="A212" s="160" t="s">
        <v>333</v>
      </c>
    </row>
    <row r="213" spans="1:8">
      <c r="B213" s="4" t="s">
        <v>389</v>
      </c>
      <c r="C213" s="288">
        <v>2015</v>
      </c>
      <c r="D213" s="288">
        <v>2016</v>
      </c>
      <c r="E213" s="288">
        <v>2017</v>
      </c>
      <c r="F213" s="288">
        <v>2018</v>
      </c>
      <c r="G213" s="288">
        <v>2019</v>
      </c>
      <c r="H213" s="288">
        <v>2020</v>
      </c>
    </row>
    <row r="214" spans="1:8" ht="13.8" customHeight="1">
      <c r="A214" s="403" t="s">
        <v>334</v>
      </c>
      <c r="B214" s="72">
        <v>0</v>
      </c>
      <c r="C214" s="283">
        <v>46.806369893001026</v>
      </c>
      <c r="D214" s="283">
        <v>44.777342132660209</v>
      </c>
      <c r="E214" s="283">
        <v>42.885115997287627</v>
      </c>
      <c r="F214" s="283">
        <v>41.008765214455408</v>
      </c>
      <c r="G214" s="283">
        <v>39.299529740533643</v>
      </c>
      <c r="H214" s="283">
        <v>37.682943174886098</v>
      </c>
    </row>
    <row r="215" spans="1:8">
      <c r="A215" s="404"/>
      <c r="B215" s="72">
        <v>1</v>
      </c>
      <c r="C215" s="283">
        <v>6.8662554418952357</v>
      </c>
      <c r="D215" s="283">
        <v>6.3081398027817848</v>
      </c>
      <c r="E215" s="283">
        <v>5.8154898605304357</v>
      </c>
      <c r="F215" s="283">
        <v>5.4090358521517077</v>
      </c>
      <c r="G215" s="283">
        <v>4.9802525344506003</v>
      </c>
      <c r="H215" s="283">
        <v>4.8376324664345383</v>
      </c>
    </row>
    <row r="216" spans="1:8">
      <c r="A216" s="404"/>
      <c r="B216" s="72">
        <v>2</v>
      </c>
      <c r="C216" s="283">
        <v>4.3772343916049881</v>
      </c>
      <c r="D216" s="283">
        <v>4.0324300149956382</v>
      </c>
      <c r="E216" s="283">
        <v>3.72016736093547</v>
      </c>
      <c r="F216" s="283">
        <v>3.4687845608042442</v>
      </c>
      <c r="G216" s="283">
        <v>3.1945390475238584</v>
      </c>
      <c r="H216" s="283">
        <v>3.0992651233868593</v>
      </c>
    </row>
    <row r="217" spans="1:8">
      <c r="A217" s="404"/>
      <c r="B217" s="72">
        <v>3</v>
      </c>
      <c r="C217" s="283">
        <v>3.0417786536015816</v>
      </c>
      <c r="D217" s="283">
        <v>2.8103020413161888</v>
      </c>
      <c r="E217" s="283">
        <v>2.6006915006356954</v>
      </c>
      <c r="F217" s="283">
        <v>2.4260427298826817</v>
      </c>
      <c r="G217" s="283">
        <v>2.2398998368463441</v>
      </c>
      <c r="H217" s="283">
        <v>2.1737363483163614</v>
      </c>
    </row>
    <row r="218" spans="1:8">
      <c r="A218" s="404"/>
      <c r="B218" s="72">
        <v>4</v>
      </c>
      <c r="C218" s="283">
        <v>2.2148721715400832</v>
      </c>
      <c r="D218" s="283">
        <v>2.051475060772241</v>
      </c>
      <c r="E218" s="283">
        <v>1.9061299745933404</v>
      </c>
      <c r="F218" s="283">
        <v>1.780790099130787</v>
      </c>
      <c r="G218" s="283">
        <v>1.6528264856280463</v>
      </c>
      <c r="H218" s="283">
        <v>1.602809157661834</v>
      </c>
    </row>
    <row r="219" spans="1:8">
      <c r="A219" s="404"/>
      <c r="B219" s="72">
        <v>5</v>
      </c>
      <c r="C219" s="283">
        <v>1.6863018406000134</v>
      </c>
      <c r="D219" s="283">
        <v>1.5662604634033714</v>
      </c>
      <c r="E219" s="283">
        <v>1.4608254486089314</v>
      </c>
      <c r="F219" s="283">
        <v>1.3637651506338349</v>
      </c>
      <c r="G219" s="283">
        <v>1.2714001056587543</v>
      </c>
      <c r="H219" s="283">
        <v>1.2337761048008546</v>
      </c>
    </row>
    <row r="220" spans="1:8">
      <c r="A220" s="404"/>
      <c r="B220" s="72">
        <v>6</v>
      </c>
      <c r="C220" s="283">
        <v>1.436103653781752</v>
      </c>
      <c r="D220" s="283">
        <v>1.335509716901252</v>
      </c>
      <c r="E220" s="283">
        <v>1.2474535913835527</v>
      </c>
      <c r="F220" s="283">
        <v>1.1679983960139131</v>
      </c>
      <c r="G220" s="283">
        <v>1.091819143843803</v>
      </c>
      <c r="H220" s="283">
        <v>1.058870481861464</v>
      </c>
    </row>
    <row r="221" spans="1:8">
      <c r="A221" s="404"/>
      <c r="B221" s="72">
        <v>7</v>
      </c>
      <c r="C221" s="283">
        <v>1.271926684068617</v>
      </c>
      <c r="D221" s="283">
        <v>1.1855928700390452</v>
      </c>
      <c r="E221" s="283">
        <v>1.1111699948741134</v>
      </c>
      <c r="F221" s="283">
        <v>1.0412812716891098</v>
      </c>
      <c r="G221" s="283">
        <v>0.97761742838166055</v>
      </c>
      <c r="H221" s="283">
        <v>0.94794804789622489</v>
      </c>
    </row>
    <row r="222" spans="1:8">
      <c r="A222" s="404"/>
      <c r="B222" s="72">
        <v>8</v>
      </c>
      <c r="C222" s="283">
        <v>1.1385576958681267</v>
      </c>
      <c r="D222" s="283">
        <v>1.0642309316818406</v>
      </c>
      <c r="E222" s="283">
        <v>0.99938535508519089</v>
      </c>
      <c r="F222" s="283">
        <v>0.93801586239390189</v>
      </c>
      <c r="G222" s="283">
        <v>0.88124221608341369</v>
      </c>
      <c r="H222" s="283">
        <v>0.85611167575933678</v>
      </c>
    </row>
    <row r="223" spans="1:8">
      <c r="A223" s="404"/>
      <c r="B223" s="72">
        <v>9</v>
      </c>
      <c r="C223" s="283">
        <v>1.0469924642703998</v>
      </c>
      <c r="D223" s="283">
        <v>0.98179160482192618</v>
      </c>
      <c r="E223" s="283">
        <v>0.92386448329402526</v>
      </c>
      <c r="F223" s="283">
        <v>0.86858634864350059</v>
      </c>
      <c r="G223" s="283">
        <v>0.81735910614754137</v>
      </c>
      <c r="H223" s="283">
        <v>0.79371576638413122</v>
      </c>
    </row>
    <row r="224" spans="1:8">
      <c r="A224" s="404"/>
      <c r="B224" s="72">
        <v>10</v>
      </c>
      <c r="C224" s="283">
        <v>1.0061584721035142</v>
      </c>
      <c r="D224" s="283">
        <v>0.94318173127513438</v>
      </c>
      <c r="E224" s="283">
        <v>0.89009080485314496</v>
      </c>
      <c r="F224" s="283">
        <v>0.83867178749355287</v>
      </c>
      <c r="G224" s="283">
        <v>0.79080248745669457</v>
      </c>
      <c r="H224" s="283">
        <v>0.76835719968594507</v>
      </c>
    </row>
    <row r="225" spans="1:8">
      <c r="A225" s="404"/>
      <c r="B225" s="72">
        <v>11</v>
      </c>
      <c r="C225" s="283">
        <v>1.0081174509624431</v>
      </c>
      <c r="D225" s="283">
        <v>0.94952866012050452</v>
      </c>
      <c r="E225" s="283">
        <v>0.89659717642452819</v>
      </c>
      <c r="F225" s="283">
        <v>0.84703138570428083</v>
      </c>
      <c r="G225" s="283">
        <v>0.80084514160553599</v>
      </c>
      <c r="H225" s="283">
        <v>0.77779732600312357</v>
      </c>
    </row>
    <row r="226" spans="1:8">
      <c r="A226" s="404"/>
      <c r="B226" s="72">
        <v>12</v>
      </c>
      <c r="C226" s="283">
        <v>1.0415589438236188</v>
      </c>
      <c r="D226" s="283">
        <v>0.9809687665933795</v>
      </c>
      <c r="E226" s="283">
        <v>0.92944727483952039</v>
      </c>
      <c r="F226" s="283">
        <v>0.88060576169455373</v>
      </c>
      <c r="G226" s="283">
        <v>0.83434495924552987</v>
      </c>
      <c r="H226" s="283">
        <v>0.80992275182661944</v>
      </c>
    </row>
    <row r="227" spans="1:8">
      <c r="A227" s="404"/>
      <c r="B227" s="72">
        <v>13</v>
      </c>
      <c r="C227" s="283">
        <v>1.1175484130113655</v>
      </c>
      <c r="D227" s="283">
        <v>1.0546231014992187</v>
      </c>
      <c r="E227" s="283">
        <v>1.0006730804907771</v>
      </c>
      <c r="F227" s="283">
        <v>0.94861456105227793</v>
      </c>
      <c r="G227" s="283">
        <v>0.90142606398554481</v>
      </c>
      <c r="H227" s="283">
        <v>0.87587893816407103</v>
      </c>
    </row>
    <row r="228" spans="1:8">
      <c r="A228" s="404"/>
      <c r="B228" s="72">
        <v>14</v>
      </c>
      <c r="C228" s="283">
        <v>1.2534308570762858</v>
      </c>
      <c r="D228" s="283">
        <v>1.1841972206085434</v>
      </c>
      <c r="E228" s="283">
        <v>1.1281523577766457</v>
      </c>
      <c r="F228" s="283">
        <v>1.0725724328529223</v>
      </c>
      <c r="G228" s="283">
        <v>1.0237473560240915</v>
      </c>
      <c r="H228" s="283">
        <v>0.9934131208326894</v>
      </c>
    </row>
    <row r="229" spans="1:8">
      <c r="A229" s="404"/>
      <c r="B229" s="72">
        <v>15</v>
      </c>
      <c r="C229" s="283">
        <v>1.4458982469218526</v>
      </c>
      <c r="D229" s="283">
        <v>1.3676982188240405</v>
      </c>
      <c r="E229" s="283">
        <v>1.308976372401391</v>
      </c>
      <c r="F229" s="283">
        <v>1.2482707979399925</v>
      </c>
      <c r="G229" s="283">
        <v>1.1962863100798515</v>
      </c>
      <c r="H229" s="283">
        <v>1.1608879885894188</v>
      </c>
    </row>
    <row r="230" spans="1:8">
      <c r="A230" s="404"/>
      <c r="B230" s="72">
        <v>16</v>
      </c>
      <c r="C230" s="283">
        <v>1.6858139874814997</v>
      </c>
      <c r="D230" s="283">
        <v>1.6002275428352322</v>
      </c>
      <c r="E230" s="283">
        <v>1.5396767717742559</v>
      </c>
      <c r="F230" s="283">
        <v>1.470027136676781</v>
      </c>
      <c r="G230" s="283">
        <v>1.4146938489282195</v>
      </c>
      <c r="H230" s="283">
        <v>1.375966831622353</v>
      </c>
    </row>
    <row r="231" spans="1:8">
      <c r="A231" s="404"/>
      <c r="B231" s="72">
        <v>17</v>
      </c>
      <c r="C231" s="283">
        <v>1.9718714881660024</v>
      </c>
      <c r="D231" s="283">
        <v>1.8774388901932009</v>
      </c>
      <c r="E231" s="283">
        <v>1.8091808675535812</v>
      </c>
      <c r="F231" s="283">
        <v>1.7325924379284852</v>
      </c>
      <c r="G231" s="283">
        <v>1.6722378225355423</v>
      </c>
      <c r="H231" s="283">
        <v>1.6257864886819362</v>
      </c>
    </row>
    <row r="232" spans="1:8">
      <c r="A232" s="404"/>
      <c r="B232" s="72">
        <v>18</v>
      </c>
      <c r="C232" s="283">
        <v>2.2797066121931775</v>
      </c>
      <c r="D232" s="283">
        <v>2.1709561781072195</v>
      </c>
      <c r="E232" s="283">
        <v>2.0980551895542758</v>
      </c>
      <c r="F232" s="283">
        <v>2.0154017187502551</v>
      </c>
      <c r="G232" s="283">
        <v>1.9498031622462018</v>
      </c>
      <c r="H232" s="283">
        <v>1.8962043470462067</v>
      </c>
    </row>
    <row r="233" spans="1:8">
      <c r="A233" s="404"/>
      <c r="B233" s="72">
        <v>19</v>
      </c>
      <c r="C233" s="283">
        <v>2.518473832060899</v>
      </c>
      <c r="D233" s="283">
        <v>2.3936557575658042</v>
      </c>
      <c r="E233" s="283">
        <v>2.3123398105676833</v>
      </c>
      <c r="F233" s="283">
        <v>2.2214387609670312</v>
      </c>
      <c r="G233" s="283">
        <v>2.1489768340630984</v>
      </c>
      <c r="H233" s="283">
        <v>2.0893832022867893</v>
      </c>
    </row>
    <row r="234" spans="1:8">
      <c r="A234" s="404"/>
      <c r="B234" s="72">
        <v>20</v>
      </c>
      <c r="C234" s="283">
        <v>2.7540527172303837</v>
      </c>
      <c r="D234" s="283">
        <v>2.6105364617534135</v>
      </c>
      <c r="E234" s="283">
        <v>2.5198276399457304</v>
      </c>
      <c r="F234" s="283">
        <v>2.4238990041372688</v>
      </c>
      <c r="G234" s="283">
        <v>2.3410073213325142</v>
      </c>
      <c r="H234" s="283">
        <v>2.2721552527189259</v>
      </c>
    </row>
    <row r="235" spans="1:8">
      <c r="A235" s="404"/>
      <c r="B235" s="72">
        <v>21</v>
      </c>
      <c r="C235" s="283">
        <v>2.9673684208157085</v>
      </c>
      <c r="D235" s="283">
        <v>2.8115256635587227</v>
      </c>
      <c r="E235" s="283">
        <v>2.7097060224714666</v>
      </c>
      <c r="F235" s="283">
        <v>2.608781597834668</v>
      </c>
      <c r="G235" s="283">
        <v>2.5171452401617227</v>
      </c>
      <c r="H235" s="283">
        <v>2.4399946007000679</v>
      </c>
    </row>
    <row r="236" spans="1:8">
      <c r="A236" s="404"/>
      <c r="B236" s="72">
        <v>22</v>
      </c>
      <c r="C236" s="283">
        <v>3.1723759068146555</v>
      </c>
      <c r="D236" s="283">
        <v>3.0013509608726081</v>
      </c>
      <c r="E236" s="283">
        <v>2.8879802966328554</v>
      </c>
      <c r="F236" s="283">
        <v>2.7880290981236446</v>
      </c>
      <c r="G236" s="283">
        <v>2.6822951442308844</v>
      </c>
      <c r="H236" s="283">
        <v>2.5980649818586485</v>
      </c>
    </row>
    <row r="237" spans="1:8">
      <c r="A237" s="404"/>
      <c r="B237" s="72">
        <v>23</v>
      </c>
      <c r="C237" s="283">
        <v>3.3534799675479814</v>
      </c>
      <c r="D237" s="283">
        <v>3.1691411980439419</v>
      </c>
      <c r="E237" s="283">
        <v>3.0458974959486289</v>
      </c>
      <c r="F237" s="283">
        <v>2.9456331170276546</v>
      </c>
      <c r="G237" s="283">
        <v>2.8308716212680749</v>
      </c>
      <c r="H237" s="283">
        <v>2.712884578178214</v>
      </c>
    </row>
    <row r="238" spans="1:8">
      <c r="A238" s="404"/>
      <c r="B238" s="72">
        <v>24</v>
      </c>
      <c r="C238" s="283">
        <v>3.5155516632036372</v>
      </c>
      <c r="D238" s="283">
        <v>3.3211631080882587</v>
      </c>
      <c r="E238" s="283">
        <v>3.1879318979162679</v>
      </c>
      <c r="F238" s="283">
        <v>3.0918853715301564</v>
      </c>
      <c r="G238" s="283">
        <v>2.9694647697608341</v>
      </c>
      <c r="H238" s="283">
        <v>2.7796442246293678</v>
      </c>
    </row>
    <row r="239" spans="1:8">
      <c r="A239" s="404"/>
      <c r="B239" s="72">
        <v>25</v>
      </c>
      <c r="C239" s="283">
        <v>3.683380360645033</v>
      </c>
      <c r="D239" s="283">
        <v>3.479042187235073</v>
      </c>
      <c r="E239" s="283">
        <v>3.3368637478361114</v>
      </c>
      <c r="F239" s="283">
        <v>3.2420293705086527</v>
      </c>
      <c r="G239" s="283">
        <v>3.1112515960218974</v>
      </c>
      <c r="H239" s="283">
        <v>2.8377478210692364</v>
      </c>
    </row>
    <row r="240" spans="1:8">
      <c r="A240" s="404"/>
      <c r="B240" s="72">
        <v>26</v>
      </c>
      <c r="C240" s="283">
        <v>3.8399396400270205</v>
      </c>
      <c r="D240" s="283">
        <v>3.6278557512007934</v>
      </c>
      <c r="E240" s="283">
        <v>3.4756589664135302</v>
      </c>
      <c r="F240" s="283">
        <v>3.3856302543789716</v>
      </c>
      <c r="G240" s="283">
        <v>3.2455083904616311</v>
      </c>
      <c r="H240" s="283">
        <v>2.9015459921397371</v>
      </c>
    </row>
    <row r="241" spans="1:8">
      <c r="A241" s="404"/>
      <c r="B241" s="72">
        <v>27</v>
      </c>
      <c r="C241" s="283">
        <v>4.0244003735947684</v>
      </c>
      <c r="D241" s="283">
        <v>3.8024932460064869</v>
      </c>
      <c r="E241" s="283">
        <v>3.6393079907968797</v>
      </c>
      <c r="F241" s="283">
        <v>3.5574016821009948</v>
      </c>
      <c r="G241" s="283">
        <v>3.4075265046945189</v>
      </c>
      <c r="H241" s="283">
        <v>3.0236496687693015</v>
      </c>
    </row>
    <row r="242" spans="1:8">
      <c r="A242" s="404"/>
      <c r="B242" s="72">
        <v>28</v>
      </c>
      <c r="C242" s="283">
        <v>4.221553921854527</v>
      </c>
      <c r="D242" s="283">
        <v>3.9856352921179474</v>
      </c>
      <c r="E242" s="283">
        <v>3.8134270978421845</v>
      </c>
      <c r="F242" s="283">
        <v>3.7354948640678041</v>
      </c>
      <c r="G242" s="283">
        <v>3.5761404402873733</v>
      </c>
      <c r="H242" s="283">
        <v>3.1792187661338271</v>
      </c>
    </row>
    <row r="243" spans="1:8">
      <c r="A243" s="404"/>
      <c r="B243" s="72">
        <v>29</v>
      </c>
      <c r="C243" s="283">
        <v>4.4256568253939248</v>
      </c>
      <c r="D243" s="283">
        <v>4.181856905996848</v>
      </c>
      <c r="E243" s="283">
        <v>4.0013733697954983</v>
      </c>
      <c r="F243" s="283">
        <v>3.9263108029422513</v>
      </c>
      <c r="G243" s="283">
        <v>3.7570777988843096</v>
      </c>
      <c r="H243" s="283">
        <v>3.3495414951311191</v>
      </c>
    </row>
    <row r="244" spans="1:8">
      <c r="A244" s="404"/>
      <c r="B244" s="72">
        <v>30</v>
      </c>
      <c r="C244" s="283">
        <v>4.6826308916322299</v>
      </c>
      <c r="D244" s="283">
        <v>4.4280204558995795</v>
      </c>
      <c r="E244" s="283">
        <v>4.2351406925803525</v>
      </c>
      <c r="F244" s="283">
        <v>4.1640537131778323</v>
      </c>
      <c r="G244" s="283">
        <v>3.9827482207475899</v>
      </c>
      <c r="H244" s="283">
        <v>3.5607241121220237</v>
      </c>
    </row>
    <row r="245" spans="1:8">
      <c r="A245" s="404"/>
      <c r="B245" s="72">
        <v>31</v>
      </c>
      <c r="C245" s="283">
        <v>4.8854127588997178</v>
      </c>
      <c r="D245" s="283">
        <v>4.6260443811139877</v>
      </c>
      <c r="E245" s="283">
        <v>4.4224339403112856</v>
      </c>
      <c r="F245" s="283">
        <v>4.3540386169744272</v>
      </c>
      <c r="G245" s="283">
        <v>4.1670617025039478</v>
      </c>
      <c r="H245" s="283">
        <v>3.7326773270683167</v>
      </c>
    </row>
    <row r="246" spans="1:8">
      <c r="A246" s="404"/>
      <c r="B246" s="72">
        <v>32</v>
      </c>
      <c r="C246" s="283">
        <v>5.1890867984713589</v>
      </c>
      <c r="D246" s="283">
        <v>4.9151286793061262</v>
      </c>
      <c r="E246" s="283">
        <v>4.6967472349009158</v>
      </c>
      <c r="F246" s="283">
        <v>4.6346070735559</v>
      </c>
      <c r="G246" s="283">
        <v>4.431921121621623</v>
      </c>
      <c r="H246" s="283">
        <v>3.9871191346927941</v>
      </c>
    </row>
    <row r="247" spans="1:8">
      <c r="A247" s="404"/>
      <c r="B247" s="72">
        <v>33</v>
      </c>
      <c r="C247" s="283">
        <v>5.4789180000959226</v>
      </c>
      <c r="D247" s="283">
        <v>5.1929633691073187</v>
      </c>
      <c r="E247" s="283">
        <v>4.9655022138953475</v>
      </c>
      <c r="F247" s="283">
        <v>4.9052862213549417</v>
      </c>
      <c r="G247" s="283">
        <v>4.6949463902302853</v>
      </c>
      <c r="H247" s="283">
        <v>4.2330825365905573</v>
      </c>
    </row>
    <row r="248" spans="1:8">
      <c r="A248" s="404"/>
      <c r="B248" s="72">
        <v>34</v>
      </c>
      <c r="C248" s="283">
        <v>5.8075234557006494</v>
      </c>
      <c r="D248" s="283">
        <v>5.5167319179461858</v>
      </c>
      <c r="E248" s="283">
        <v>5.2757738653792154</v>
      </c>
      <c r="F248" s="283">
        <v>5.2184692761009188</v>
      </c>
      <c r="G248" s="283">
        <v>4.9942683898741898</v>
      </c>
      <c r="H248" s="283">
        <v>4.5199629792424272</v>
      </c>
    </row>
    <row r="249" spans="1:8">
      <c r="A249" s="404"/>
      <c r="B249" s="72">
        <v>35</v>
      </c>
      <c r="C249" s="283">
        <v>6.173653110680009</v>
      </c>
      <c r="D249" s="283">
        <v>5.8697679955010882</v>
      </c>
      <c r="E249" s="283">
        <v>5.6150974327562206</v>
      </c>
      <c r="F249" s="283">
        <v>5.5635135214044427</v>
      </c>
      <c r="G249" s="283">
        <v>5.3271992791300411</v>
      </c>
      <c r="H249" s="283">
        <v>4.8370775237199757</v>
      </c>
    </row>
    <row r="250" spans="1:8">
      <c r="A250" s="404"/>
      <c r="B250" s="72">
        <v>36</v>
      </c>
      <c r="C250" s="283">
        <v>6.5199448369477402</v>
      </c>
      <c r="D250" s="283">
        <v>6.2065431586459869</v>
      </c>
      <c r="E250" s="283">
        <v>5.9434956600019451</v>
      </c>
      <c r="F250" s="283">
        <v>5.8947555143491037</v>
      </c>
      <c r="G250" s="283">
        <v>5.6470152879138222</v>
      </c>
      <c r="H250" s="283">
        <v>5.1420034015220297</v>
      </c>
    </row>
    <row r="251" spans="1:8">
      <c r="A251" s="404"/>
      <c r="B251" s="72">
        <v>37</v>
      </c>
      <c r="C251" s="283">
        <v>6.9056353294569934</v>
      </c>
      <c r="D251" s="283">
        <v>6.5846816844338401</v>
      </c>
      <c r="E251" s="283">
        <v>6.3068418451311636</v>
      </c>
      <c r="F251" s="283">
        <v>6.2639830177689335</v>
      </c>
      <c r="G251" s="283">
        <v>6.0073632812323217</v>
      </c>
      <c r="H251" s="283">
        <v>5.4886179568800042</v>
      </c>
    </row>
    <row r="252" spans="1:8">
      <c r="A252" s="404"/>
      <c r="B252" s="72">
        <v>38</v>
      </c>
      <c r="C252" s="283">
        <v>7.3052551486227904</v>
      </c>
      <c r="D252" s="283">
        <v>6.9820907202406639</v>
      </c>
      <c r="E252" s="283">
        <v>6.6968036844383461</v>
      </c>
      <c r="F252" s="283">
        <v>6.6553348728087656</v>
      </c>
      <c r="G252" s="283">
        <v>6.3859587391151678</v>
      </c>
      <c r="H252" s="283">
        <v>5.8562465549762077</v>
      </c>
    </row>
    <row r="253" spans="1:8">
      <c r="A253" s="404"/>
      <c r="B253" s="72">
        <v>39</v>
      </c>
      <c r="C253" s="283">
        <v>7.6976784461873606</v>
      </c>
      <c r="D253" s="283">
        <v>7.37571185109109</v>
      </c>
      <c r="E253" s="283">
        <v>7.0798241526758945</v>
      </c>
      <c r="F253" s="283">
        <v>7.0409427745476183</v>
      </c>
      <c r="G253" s="283">
        <v>6.7665891639576081</v>
      </c>
      <c r="H253" s="283">
        <v>6.2295738959920675</v>
      </c>
    </row>
    <row r="254" spans="1:8">
      <c r="A254" s="404"/>
      <c r="B254" s="72">
        <v>40</v>
      </c>
      <c r="C254" s="283">
        <v>8.190712917493066</v>
      </c>
      <c r="D254" s="283">
        <v>7.8632746698719025</v>
      </c>
      <c r="E254" s="283">
        <v>7.5547809118815019</v>
      </c>
      <c r="F254" s="283">
        <v>7.5201333044749692</v>
      </c>
      <c r="G254" s="283">
        <v>7.2321959289741864</v>
      </c>
      <c r="H254" s="283">
        <v>6.6911135563559885</v>
      </c>
    </row>
    <row r="255" spans="1:8">
      <c r="A255" s="404"/>
      <c r="B255" s="72">
        <v>41</v>
      </c>
      <c r="C255" s="283">
        <v>8.5386583822949778</v>
      </c>
      <c r="D255" s="283">
        <v>8.213395446894582</v>
      </c>
      <c r="E255" s="283">
        <v>7.9036888379892201</v>
      </c>
      <c r="F255" s="283">
        <v>7.8731040095288956</v>
      </c>
      <c r="G255" s="283">
        <v>7.5878816221909711</v>
      </c>
      <c r="H255" s="283">
        <v>7.0450201070383267</v>
      </c>
    </row>
    <row r="256" spans="1:8">
      <c r="A256" s="404"/>
      <c r="B256" s="72">
        <v>42</v>
      </c>
      <c r="C256" s="283">
        <v>9.0671509913346604</v>
      </c>
      <c r="D256" s="283">
        <v>8.7470375356556271</v>
      </c>
      <c r="E256" s="283">
        <v>8.4268958454077509</v>
      </c>
      <c r="F256" s="283">
        <v>8.3899552618470139</v>
      </c>
      <c r="G256" s="283">
        <v>8.1003161763470501</v>
      </c>
      <c r="H256" s="283">
        <v>7.5544976891092279</v>
      </c>
    </row>
    <row r="257" spans="1:8">
      <c r="A257" s="404"/>
      <c r="B257" s="72">
        <v>43</v>
      </c>
      <c r="C257" s="283">
        <v>9.523591582389475</v>
      </c>
      <c r="D257" s="283">
        <v>9.2092300825493716</v>
      </c>
      <c r="E257" s="283">
        <v>8.8902785214590381</v>
      </c>
      <c r="F257" s="283">
        <v>8.8593647115942158</v>
      </c>
      <c r="G257" s="283">
        <v>8.5638877601182948</v>
      </c>
      <c r="H257" s="283">
        <v>8.0196564545279561</v>
      </c>
    </row>
    <row r="258" spans="1:8">
      <c r="A258" s="404"/>
      <c r="B258" s="72">
        <v>44</v>
      </c>
      <c r="C258" s="283">
        <v>10.061942771995716</v>
      </c>
      <c r="D258" s="283">
        <v>9.7487129111508981</v>
      </c>
      <c r="E258" s="283">
        <v>9.4269281178277904</v>
      </c>
      <c r="F258" s="283">
        <v>9.3963385608565488</v>
      </c>
      <c r="G258" s="283">
        <v>9.098985069325483</v>
      </c>
      <c r="H258" s="283">
        <v>8.5529189386463198</v>
      </c>
    </row>
    <row r="259" spans="1:8">
      <c r="A259" s="404"/>
      <c r="B259" s="72">
        <v>45</v>
      </c>
      <c r="C259" s="283">
        <v>10.700094880417399</v>
      </c>
      <c r="D259" s="283">
        <v>10.397005660413198</v>
      </c>
      <c r="E259" s="283">
        <v>10.060032579855442</v>
      </c>
      <c r="F259" s="283">
        <v>10.033732157170526</v>
      </c>
      <c r="G259" s="283">
        <v>9.7308363174390102</v>
      </c>
      <c r="H259" s="283">
        <v>9.1871114605902591</v>
      </c>
    </row>
    <row r="260" spans="1:8">
      <c r="A260" s="404"/>
      <c r="B260" s="72">
        <v>46</v>
      </c>
      <c r="C260" s="283">
        <v>11.28208371135733</v>
      </c>
      <c r="D260" s="283">
        <v>10.982744544805103</v>
      </c>
      <c r="E260" s="283">
        <v>10.647085268215132</v>
      </c>
      <c r="F260" s="283">
        <v>10.625723268793394</v>
      </c>
      <c r="G260" s="283">
        <v>10.325989922918131</v>
      </c>
      <c r="H260" s="283">
        <v>9.7804553360888757</v>
      </c>
    </row>
    <row r="261" spans="1:8">
      <c r="A261" s="404"/>
      <c r="B261" s="72">
        <v>47</v>
      </c>
      <c r="C261" s="283">
        <v>11.966724992301975</v>
      </c>
      <c r="D261" s="283">
        <v>11.673383551299077</v>
      </c>
      <c r="E261" s="283">
        <v>11.339206065683415</v>
      </c>
      <c r="F261" s="283">
        <v>11.313148008397144</v>
      </c>
      <c r="G261" s="283">
        <v>11.0158932339031</v>
      </c>
      <c r="H261" s="283">
        <v>10.474265182162052</v>
      </c>
    </row>
    <row r="262" spans="1:8">
      <c r="A262" s="404"/>
      <c r="B262" s="72">
        <v>48</v>
      </c>
      <c r="C262" s="283">
        <v>12.741040501089831</v>
      </c>
      <c r="D262" s="283">
        <v>12.462026292811125</v>
      </c>
      <c r="E262" s="283">
        <v>12.119567985652601</v>
      </c>
      <c r="F262" s="283">
        <v>12.090900641459596</v>
      </c>
      <c r="G262" s="283">
        <v>11.793003411032888</v>
      </c>
      <c r="H262" s="283">
        <v>11.262863402157064</v>
      </c>
    </row>
    <row r="263" spans="1:8">
      <c r="A263" s="404"/>
      <c r="B263" s="72">
        <v>49</v>
      </c>
      <c r="C263" s="283">
        <v>13.532941564734021</v>
      </c>
      <c r="D263" s="283">
        <v>13.264798672752171</v>
      </c>
      <c r="E263" s="283">
        <v>12.926548795042191</v>
      </c>
      <c r="F263" s="283">
        <v>12.896579494817692</v>
      </c>
      <c r="G263" s="283">
        <v>12.592579052244437</v>
      </c>
      <c r="H263" s="283">
        <v>12.104959923412519</v>
      </c>
    </row>
    <row r="264" spans="1:8">
      <c r="A264" s="404"/>
      <c r="B264" s="72">
        <v>50</v>
      </c>
      <c r="C264" s="283">
        <v>14.537501150907367</v>
      </c>
      <c r="D264" s="283">
        <v>14.27456100499521</v>
      </c>
      <c r="E264" s="283">
        <v>13.92009233915649</v>
      </c>
      <c r="F264" s="283">
        <v>13.886542907833414</v>
      </c>
      <c r="G264" s="283">
        <v>13.574121288100256</v>
      </c>
      <c r="H264" s="283">
        <v>13.144553151501595</v>
      </c>
    </row>
    <row r="265" spans="1:8">
      <c r="A265" s="404"/>
      <c r="B265" s="72">
        <v>51</v>
      </c>
      <c r="C265" s="283">
        <v>15.255036524160426</v>
      </c>
      <c r="D265" s="283">
        <v>15.002625327718858</v>
      </c>
      <c r="E265" s="283">
        <v>14.656925526330571</v>
      </c>
      <c r="F265" s="283">
        <v>14.619009813984663</v>
      </c>
      <c r="G265" s="283">
        <v>14.329954542354022</v>
      </c>
      <c r="H265" s="283">
        <v>13.956727602028169</v>
      </c>
    </row>
    <row r="266" spans="1:8">
      <c r="A266" s="404"/>
      <c r="B266" s="72">
        <v>52</v>
      </c>
      <c r="C266" s="283">
        <v>16.274899915335695</v>
      </c>
      <c r="D266" s="283">
        <v>16.050216705796114</v>
      </c>
      <c r="E266" s="283">
        <v>15.704842639202617</v>
      </c>
      <c r="F266" s="283">
        <v>15.652807339925586</v>
      </c>
      <c r="G266" s="283">
        <v>15.358860447293944</v>
      </c>
      <c r="H266" s="283">
        <v>15.056420169537052</v>
      </c>
    </row>
    <row r="267" spans="1:8">
      <c r="A267" s="404"/>
      <c r="B267" s="72">
        <v>53</v>
      </c>
      <c r="C267" s="283">
        <v>17.181572681159491</v>
      </c>
      <c r="D267" s="283">
        <v>16.982470242452941</v>
      </c>
      <c r="E267" s="283">
        <v>16.640687438895327</v>
      </c>
      <c r="F267" s="283">
        <v>16.580609364419118</v>
      </c>
      <c r="G267" s="283">
        <v>16.292640874998661</v>
      </c>
      <c r="H267" s="283">
        <v>16.073271718392707</v>
      </c>
    </row>
    <row r="268" spans="1:8">
      <c r="A268" s="404"/>
      <c r="B268" s="72">
        <v>54</v>
      </c>
      <c r="C268" s="283">
        <v>18.187394619370135</v>
      </c>
      <c r="D268" s="283">
        <v>18.011673215196844</v>
      </c>
      <c r="E268" s="283">
        <v>17.668931974886913</v>
      </c>
      <c r="F268" s="283">
        <v>17.600539702046536</v>
      </c>
      <c r="G268" s="283">
        <v>17.333930367111176</v>
      </c>
      <c r="H268" s="283">
        <v>17.206177742540156</v>
      </c>
    </row>
    <row r="269" spans="1:8">
      <c r="A269" s="404"/>
      <c r="B269" s="72">
        <v>55</v>
      </c>
      <c r="C269" s="283">
        <v>19.259728431963588</v>
      </c>
      <c r="D269" s="283">
        <v>19.104674300197829</v>
      </c>
      <c r="E269" s="283">
        <v>18.774993466946984</v>
      </c>
      <c r="F269" s="283">
        <v>18.701710412155833</v>
      </c>
      <c r="G269" s="283">
        <v>18.444175312400731</v>
      </c>
      <c r="H269" s="283">
        <v>18.402634108091746</v>
      </c>
    </row>
    <row r="270" spans="1:8">
      <c r="A270" s="404"/>
      <c r="B270" s="72">
        <v>56</v>
      </c>
      <c r="C270" s="283">
        <v>20.396709415153918</v>
      </c>
      <c r="D270" s="283">
        <v>20.260098250538384</v>
      </c>
      <c r="E270" s="283">
        <v>19.947389946436402</v>
      </c>
      <c r="F270" s="283">
        <v>19.863442225378016</v>
      </c>
      <c r="G270" s="283">
        <v>19.619983757868887</v>
      </c>
      <c r="H270" s="283">
        <v>19.684155556019348</v>
      </c>
    </row>
    <row r="271" spans="1:8">
      <c r="A271" s="404"/>
      <c r="B271" s="72">
        <v>57</v>
      </c>
      <c r="C271" s="283">
        <v>21.635523480872909</v>
      </c>
      <c r="D271" s="283">
        <v>21.541490884786317</v>
      </c>
      <c r="E271" s="283">
        <v>21.229653621308657</v>
      </c>
      <c r="F271" s="283">
        <v>21.141888925365173</v>
      </c>
      <c r="G271" s="283">
        <v>20.909510057693431</v>
      </c>
      <c r="H271" s="283">
        <v>21.100431074756518</v>
      </c>
    </row>
    <row r="272" spans="1:8">
      <c r="A272" s="404"/>
      <c r="B272" s="72">
        <v>58</v>
      </c>
      <c r="C272" s="283">
        <v>23.168470845812099</v>
      </c>
      <c r="D272" s="283">
        <v>23.105347098329691</v>
      </c>
      <c r="E272" s="283">
        <v>22.792423888010006</v>
      </c>
      <c r="F272" s="283">
        <v>22.677478196146044</v>
      </c>
      <c r="G272" s="283">
        <v>22.449652230773818</v>
      </c>
      <c r="H272" s="283">
        <v>22.809202140346887</v>
      </c>
    </row>
    <row r="273" spans="1:8">
      <c r="A273" s="404"/>
      <c r="B273" s="72">
        <v>59</v>
      </c>
      <c r="C273" s="283">
        <v>24.816336480158942</v>
      </c>
      <c r="D273" s="283">
        <v>24.758626897700786</v>
      </c>
      <c r="E273" s="283">
        <v>24.447994798710106</v>
      </c>
      <c r="F273" s="283">
        <v>24.313107651926366</v>
      </c>
      <c r="G273" s="283">
        <v>24.094923826452757</v>
      </c>
      <c r="H273" s="283">
        <v>24.637102033958865</v>
      </c>
    </row>
    <row r="274" spans="1:8">
      <c r="A274" s="404"/>
      <c r="B274" s="72">
        <v>60</v>
      </c>
      <c r="C274" s="283">
        <v>27.020835365653159</v>
      </c>
      <c r="D274" s="283">
        <v>26.977375530250555</v>
      </c>
      <c r="E274" s="283">
        <v>26.652702020580467</v>
      </c>
      <c r="F274" s="283">
        <v>26.502032888778473</v>
      </c>
      <c r="G274" s="283">
        <v>26.272468779141896</v>
      </c>
      <c r="H274" s="283">
        <v>27.012104258120523</v>
      </c>
    </row>
    <row r="275" spans="1:8">
      <c r="A275" s="404"/>
      <c r="B275" s="72">
        <v>61</v>
      </c>
      <c r="C275" s="283">
        <v>28.712244718248328</v>
      </c>
      <c r="D275" s="283">
        <v>28.68569595898332</v>
      </c>
      <c r="E275" s="283">
        <v>28.357645323517513</v>
      </c>
      <c r="F275" s="283">
        <v>28.209943651011034</v>
      </c>
      <c r="G275" s="283">
        <v>27.974904293229649</v>
      </c>
      <c r="H275" s="283">
        <v>28.910577299296072</v>
      </c>
    </row>
    <row r="276" spans="1:8">
      <c r="A276" s="404"/>
      <c r="B276" s="72">
        <v>62</v>
      </c>
      <c r="C276" s="283">
        <v>31.162444788047331</v>
      </c>
      <c r="D276" s="283">
        <v>31.170588844458432</v>
      </c>
      <c r="E276" s="283">
        <v>30.825811542812595</v>
      </c>
      <c r="F276" s="283">
        <v>30.635295473330363</v>
      </c>
      <c r="G276" s="283">
        <v>30.40090416708599</v>
      </c>
      <c r="H276" s="283">
        <v>31.51765789284741</v>
      </c>
    </row>
    <row r="277" spans="1:8">
      <c r="A277" s="404"/>
      <c r="B277" s="72">
        <v>63</v>
      </c>
      <c r="C277" s="283">
        <v>33.465660208636486</v>
      </c>
      <c r="D277" s="283">
        <v>33.48676515410196</v>
      </c>
      <c r="E277" s="283">
        <v>33.147870377298048</v>
      </c>
      <c r="F277" s="283">
        <v>32.916368670509954</v>
      </c>
      <c r="G277" s="283">
        <v>32.699712212830235</v>
      </c>
      <c r="H277" s="283">
        <v>33.948503410395048</v>
      </c>
    </row>
    <row r="278" spans="1:8">
      <c r="A278" s="404"/>
      <c r="B278" s="72">
        <v>64</v>
      </c>
      <c r="C278" s="283">
        <v>35.982417527733659</v>
      </c>
      <c r="D278" s="283">
        <v>36.018655582481372</v>
      </c>
      <c r="E278" s="283">
        <v>35.67429965895542</v>
      </c>
      <c r="F278" s="283">
        <v>35.417967688177633</v>
      </c>
      <c r="G278" s="283">
        <v>35.188220860373043</v>
      </c>
      <c r="H278" s="283">
        <v>36.600603738672362</v>
      </c>
    </row>
    <row r="279" spans="1:8">
      <c r="A279" s="404"/>
      <c r="B279" s="72">
        <v>65</v>
      </c>
      <c r="C279" s="283">
        <v>38.730137179773465</v>
      </c>
      <c r="D279" s="283">
        <v>38.813125773643598</v>
      </c>
      <c r="E279" s="283">
        <v>38.471257488499099</v>
      </c>
      <c r="F279" s="283">
        <v>38.161096313092905</v>
      </c>
      <c r="G279" s="283">
        <v>37.94820633135496</v>
      </c>
      <c r="H279" s="283">
        <v>39.498215981288681</v>
      </c>
    </row>
    <row r="280" spans="1:8">
      <c r="A280" s="404"/>
      <c r="B280" s="72">
        <v>66</v>
      </c>
      <c r="C280" s="283">
        <v>41.056652390311157</v>
      </c>
      <c r="D280" s="283">
        <v>41.115548814550273</v>
      </c>
      <c r="E280" s="283">
        <v>40.758254674217845</v>
      </c>
      <c r="F280" s="283">
        <v>40.404859054722579</v>
      </c>
      <c r="G280" s="283">
        <v>40.183853434688352</v>
      </c>
      <c r="H280" s="283">
        <v>41.88012432956306</v>
      </c>
    </row>
    <row r="281" spans="1:8">
      <c r="A281" s="404"/>
      <c r="B281" s="72">
        <v>67</v>
      </c>
      <c r="C281" s="283">
        <v>43.81855044672929</v>
      </c>
      <c r="D281" s="283">
        <v>43.885930646467543</v>
      </c>
      <c r="E281" s="283">
        <v>43.533557832644995</v>
      </c>
      <c r="F281" s="283">
        <v>43.162180733450676</v>
      </c>
      <c r="G281" s="283">
        <v>42.927099229851954</v>
      </c>
      <c r="H281" s="283">
        <v>44.718385180348832</v>
      </c>
    </row>
    <row r="282" spans="1:8">
      <c r="A282" s="404"/>
      <c r="B282" s="72">
        <v>68</v>
      </c>
      <c r="C282" s="283">
        <v>46.957640528765246</v>
      </c>
      <c r="D282" s="283">
        <v>47.031051830687808</v>
      </c>
      <c r="E282" s="283">
        <v>46.67908503524712</v>
      </c>
      <c r="F282" s="283">
        <v>46.246149329563615</v>
      </c>
      <c r="G282" s="283">
        <v>46.044438206804287</v>
      </c>
      <c r="H282" s="283">
        <v>47.883370059937256</v>
      </c>
    </row>
    <row r="283" spans="1:8">
      <c r="A283" s="404"/>
      <c r="B283" s="72">
        <v>69</v>
      </c>
      <c r="C283" s="283">
        <v>50.270743380133972</v>
      </c>
      <c r="D283" s="283">
        <v>50.32560910530966</v>
      </c>
      <c r="E283" s="283">
        <v>49.959710716757336</v>
      </c>
      <c r="F283" s="283">
        <v>49.511761123978118</v>
      </c>
      <c r="G283" s="283">
        <v>49.297207892416722</v>
      </c>
      <c r="H283" s="283">
        <v>51.192802171288804</v>
      </c>
    </row>
    <row r="284" spans="1:8">
      <c r="A284" s="404"/>
      <c r="B284" s="72">
        <v>70</v>
      </c>
      <c r="C284" s="283">
        <v>54.796788378164962</v>
      </c>
      <c r="D284" s="283">
        <v>54.815932892222847</v>
      </c>
      <c r="E284" s="283">
        <v>54.444692676335336</v>
      </c>
      <c r="F284" s="283">
        <v>53.932770094670886</v>
      </c>
      <c r="G284" s="283">
        <v>53.68154118883983</v>
      </c>
      <c r="H284" s="283">
        <v>55.614725857907814</v>
      </c>
    </row>
    <row r="285" spans="1:8">
      <c r="A285" s="404"/>
      <c r="B285" s="72">
        <v>71</v>
      </c>
      <c r="C285" s="283">
        <v>58.250296989578196</v>
      </c>
      <c r="D285" s="283">
        <v>58.242203148166098</v>
      </c>
      <c r="E285" s="283">
        <v>57.863519611693796</v>
      </c>
      <c r="F285" s="283">
        <v>57.327543404532406</v>
      </c>
      <c r="G285" s="283">
        <v>57.070063724175277</v>
      </c>
      <c r="H285" s="283">
        <v>59.067031627912229</v>
      </c>
    </row>
    <row r="286" spans="1:8">
      <c r="A286" s="404"/>
      <c r="B286" s="72">
        <v>72</v>
      </c>
      <c r="C286" s="283">
        <v>63.816307695391373</v>
      </c>
      <c r="D286" s="283">
        <v>63.748996811556033</v>
      </c>
      <c r="E286" s="283">
        <v>63.34244088894053</v>
      </c>
      <c r="F286" s="283">
        <v>62.763146784323794</v>
      </c>
      <c r="G286" s="283">
        <v>62.491620069384204</v>
      </c>
      <c r="H286" s="283">
        <v>64.490061726757489</v>
      </c>
    </row>
    <row r="287" spans="1:8">
      <c r="A287" s="404"/>
      <c r="B287" s="72">
        <v>73</v>
      </c>
      <c r="C287" s="283">
        <v>68.844944872596329</v>
      </c>
      <c r="D287" s="283">
        <v>68.772237448116343</v>
      </c>
      <c r="E287" s="283">
        <v>68.320676252009292</v>
      </c>
      <c r="F287" s="283">
        <v>67.744713030990113</v>
      </c>
      <c r="G287" s="283">
        <v>67.439492929049109</v>
      </c>
      <c r="H287" s="283">
        <v>69.357255417891309</v>
      </c>
    </row>
    <row r="288" spans="1:8">
      <c r="A288" s="404"/>
      <c r="B288" s="72">
        <v>74</v>
      </c>
      <c r="C288" s="283">
        <v>74.626218677668746</v>
      </c>
      <c r="D288" s="283">
        <v>74.471352146778244</v>
      </c>
      <c r="E288" s="283">
        <v>74.039837403997254</v>
      </c>
      <c r="F288" s="283">
        <v>73.385321145957221</v>
      </c>
      <c r="G288" s="283">
        <v>73.083798951388886</v>
      </c>
      <c r="H288" s="283">
        <v>74.788962229677338</v>
      </c>
    </row>
    <row r="289" spans="1:8">
      <c r="A289" s="404"/>
      <c r="B289" s="72">
        <v>75</v>
      </c>
      <c r="C289" s="283">
        <v>80.99542279258803</v>
      </c>
      <c r="D289" s="283">
        <v>80.782936739062748</v>
      </c>
      <c r="E289" s="283">
        <v>80.312340480285783</v>
      </c>
      <c r="F289" s="283">
        <v>79.676151415464702</v>
      </c>
      <c r="G289" s="283">
        <v>79.278753443362575</v>
      </c>
      <c r="H289" s="283">
        <v>80.734833137889481</v>
      </c>
    </row>
    <row r="290" spans="1:8">
      <c r="A290" s="404"/>
      <c r="B290" s="72">
        <v>76</v>
      </c>
      <c r="C290" s="283">
        <v>87.541248748735285</v>
      </c>
      <c r="D290" s="283">
        <v>87.25224997574233</v>
      </c>
      <c r="E290" s="283">
        <v>86.776021044493476</v>
      </c>
      <c r="F290" s="283">
        <v>86.124072510764975</v>
      </c>
      <c r="G290" s="283">
        <v>85.755360131825228</v>
      </c>
      <c r="H290" s="283">
        <v>86.831269382211161</v>
      </c>
    </row>
    <row r="291" spans="1:8">
      <c r="A291" s="404"/>
      <c r="B291" s="72">
        <v>77</v>
      </c>
      <c r="C291" s="283">
        <v>94.559334321582753</v>
      </c>
      <c r="D291" s="283">
        <v>94.220388256196657</v>
      </c>
      <c r="E291" s="283">
        <v>93.735640770479932</v>
      </c>
      <c r="F291" s="283">
        <v>93.028403478188821</v>
      </c>
      <c r="G291" s="283">
        <v>92.641974974727304</v>
      </c>
      <c r="H291" s="283">
        <v>93.346117736083983</v>
      </c>
    </row>
    <row r="292" spans="1:8">
      <c r="A292" s="404"/>
      <c r="B292" s="72">
        <v>78</v>
      </c>
      <c r="C292" s="283">
        <v>103.41592021065213</v>
      </c>
      <c r="D292" s="283">
        <v>102.94942853143465</v>
      </c>
      <c r="E292" s="283">
        <v>102.42914832228244</v>
      </c>
      <c r="F292" s="283">
        <v>101.7241796151428</v>
      </c>
      <c r="G292" s="283">
        <v>101.24868426347716</v>
      </c>
      <c r="H292" s="283">
        <v>101.40852972982209</v>
      </c>
    </row>
    <row r="293" spans="1:8">
      <c r="A293" s="404"/>
      <c r="B293" s="72">
        <v>79</v>
      </c>
      <c r="C293" s="283">
        <v>111.58595047825406</v>
      </c>
      <c r="D293" s="283">
        <v>110.98255801544622</v>
      </c>
      <c r="E293" s="283">
        <v>110.42991290669354</v>
      </c>
      <c r="F293" s="283">
        <v>109.75613314800093</v>
      </c>
      <c r="G293" s="283">
        <v>109.21149239283884</v>
      </c>
      <c r="H293" s="283">
        <v>108.54295427927427</v>
      </c>
    </row>
    <row r="294" spans="1:8">
      <c r="A294" s="404"/>
      <c r="B294" s="72">
        <v>80</v>
      </c>
      <c r="C294" s="283">
        <v>121.99423827535682</v>
      </c>
      <c r="D294" s="283">
        <v>121.3432970913905</v>
      </c>
      <c r="E294" s="283">
        <v>120.75457779755915</v>
      </c>
      <c r="F294" s="283">
        <v>120.12757126072002</v>
      </c>
      <c r="G294" s="283">
        <v>119.50726737802769</v>
      </c>
      <c r="H294" s="283">
        <v>117.83651733095671</v>
      </c>
    </row>
    <row r="295" spans="1:8">
      <c r="A295" s="404"/>
      <c r="B295" s="72">
        <v>81</v>
      </c>
      <c r="C295" s="283">
        <v>130.47119459642025</v>
      </c>
      <c r="D295" s="283">
        <v>129.75674016844269</v>
      </c>
      <c r="E295" s="283">
        <v>129.13353888003536</v>
      </c>
      <c r="F295" s="283">
        <v>128.5268792767661</v>
      </c>
      <c r="G295" s="283">
        <v>127.87602232662651</v>
      </c>
      <c r="H295" s="283">
        <v>125.4682907519516</v>
      </c>
    </row>
    <row r="296" spans="1:8">
      <c r="A296" s="404"/>
      <c r="B296" s="72">
        <v>82</v>
      </c>
      <c r="C296" s="283">
        <v>144.66267698247597</v>
      </c>
      <c r="D296" s="283">
        <v>143.949805655349</v>
      </c>
      <c r="E296" s="283">
        <v>143.20107047827102</v>
      </c>
      <c r="F296" s="283">
        <v>142.52023316115017</v>
      </c>
      <c r="G296" s="283">
        <v>141.86784268222502</v>
      </c>
      <c r="H296" s="283">
        <v>139.03720973995763</v>
      </c>
    </row>
    <row r="297" spans="1:8">
      <c r="A297" s="404"/>
      <c r="B297" s="72">
        <v>83</v>
      </c>
      <c r="C297" s="283">
        <v>157.41176936791695</v>
      </c>
      <c r="D297" s="283">
        <v>156.63189587046472</v>
      </c>
      <c r="E297" s="283">
        <v>155.91292027827473</v>
      </c>
      <c r="F297" s="283">
        <v>155.18560886160358</v>
      </c>
      <c r="G297" s="283">
        <v>154.40953489025529</v>
      </c>
      <c r="H297" s="283">
        <v>154.23281952693108</v>
      </c>
    </row>
    <row r="298" spans="1:8">
      <c r="A298" s="404"/>
      <c r="B298" s="72">
        <v>84</v>
      </c>
      <c r="C298" s="283">
        <v>172.69109862736664</v>
      </c>
      <c r="D298" s="283">
        <v>171.76945598069187</v>
      </c>
      <c r="E298" s="283">
        <v>171.05339021951843</v>
      </c>
      <c r="F298" s="283">
        <v>170.2715400448802</v>
      </c>
      <c r="G298" s="283">
        <v>169.44701834535775</v>
      </c>
      <c r="H298" s="283">
        <v>175.72026362512594</v>
      </c>
    </row>
    <row r="299" spans="1:8">
      <c r="A299" s="404"/>
      <c r="B299" s="72">
        <v>85</v>
      </c>
      <c r="C299" s="283">
        <v>185.94494898635344</v>
      </c>
      <c r="D299" s="283">
        <v>185.11079124381794</v>
      </c>
      <c r="E299" s="283">
        <v>184.230857940275</v>
      </c>
      <c r="F299" s="283">
        <v>183.32341134231041</v>
      </c>
      <c r="G299" s="283">
        <v>182.64052159034088</v>
      </c>
      <c r="H299" s="283">
        <v>197.05759129306483</v>
      </c>
    </row>
    <row r="300" spans="1:8">
      <c r="A300" s="404"/>
      <c r="B300" s="72">
        <v>86</v>
      </c>
      <c r="C300" s="283">
        <v>201.38148994146238</v>
      </c>
      <c r="D300" s="283">
        <v>200.5012470468258</v>
      </c>
      <c r="E300" s="283">
        <v>199.65539263576304</v>
      </c>
      <c r="F300" s="283">
        <v>198.85769853264949</v>
      </c>
      <c r="G300" s="283">
        <v>198.02859477885414</v>
      </c>
      <c r="H300" s="283">
        <v>220.46429611661816</v>
      </c>
    </row>
    <row r="301" spans="1:8">
      <c r="A301" s="404"/>
      <c r="B301" s="72">
        <v>87</v>
      </c>
      <c r="C301" s="283">
        <v>216.60250850455952</v>
      </c>
      <c r="D301" s="283">
        <v>215.55963613231751</v>
      </c>
      <c r="E301" s="283">
        <v>214.85749931009173</v>
      </c>
      <c r="F301" s="283">
        <v>213.82389741811014</v>
      </c>
      <c r="G301" s="283">
        <v>212.97070486223186</v>
      </c>
      <c r="H301" s="283">
        <v>241.61261858168689</v>
      </c>
    </row>
    <row r="302" spans="1:8">
      <c r="A302" s="404"/>
      <c r="B302" s="72">
        <v>88</v>
      </c>
      <c r="C302" s="283">
        <v>233.55026967234639</v>
      </c>
      <c r="D302" s="283">
        <v>232.65366514924631</v>
      </c>
      <c r="E302" s="283">
        <v>231.76470219861756</v>
      </c>
      <c r="F302" s="283">
        <v>230.75944089427685</v>
      </c>
      <c r="G302" s="283">
        <v>229.98538540727887</v>
      </c>
      <c r="H302" s="283">
        <v>261.61389506321279</v>
      </c>
    </row>
    <row r="303" spans="1:8">
      <c r="A303" s="404"/>
      <c r="B303" s="72">
        <v>89</v>
      </c>
      <c r="C303" s="283">
        <v>249.98819978472386</v>
      </c>
      <c r="D303" s="283">
        <v>248.46482620717651</v>
      </c>
      <c r="E303" s="283">
        <v>247.64607137714873</v>
      </c>
      <c r="F303" s="283">
        <v>246.87091044607274</v>
      </c>
      <c r="G303" s="283">
        <v>245.60254348455624</v>
      </c>
      <c r="H303" s="283">
        <v>280.91900530491631</v>
      </c>
    </row>
    <row r="304" spans="1:8">
      <c r="A304" s="404"/>
      <c r="B304" s="72">
        <v>90</v>
      </c>
      <c r="C304" s="283">
        <v>270.34078423914741</v>
      </c>
      <c r="D304" s="283">
        <v>268.89996511304855</v>
      </c>
      <c r="E304" s="283">
        <v>267.56970877450692</v>
      </c>
      <c r="F304" s="283">
        <v>267.21700499983046</v>
      </c>
      <c r="G304" s="283">
        <v>266.13817624179381</v>
      </c>
      <c r="H304" s="283">
        <v>303.65583415322067</v>
      </c>
    </row>
    <row r="305" spans="1:8">
      <c r="A305" s="404"/>
      <c r="B305" s="72">
        <v>91</v>
      </c>
      <c r="C305" s="283">
        <v>284.86887135694951</v>
      </c>
      <c r="D305" s="283">
        <v>283.4995296190063</v>
      </c>
      <c r="E305" s="283">
        <v>282.14229524748026</v>
      </c>
      <c r="F305" s="283">
        <v>281.35686395090818</v>
      </c>
      <c r="G305" s="283">
        <v>279.93977959205142</v>
      </c>
      <c r="H305" s="283">
        <v>320.96219648576863</v>
      </c>
    </row>
    <row r="306" spans="1:8">
      <c r="A306" s="404"/>
      <c r="B306" s="72">
        <v>92</v>
      </c>
      <c r="C306" s="283">
        <v>306.56433032766375</v>
      </c>
      <c r="D306" s="283">
        <v>306.07835328572918</v>
      </c>
      <c r="E306" s="283">
        <v>304.64503867978652</v>
      </c>
      <c r="F306" s="283">
        <v>303.41922697558346</v>
      </c>
      <c r="G306" s="283">
        <v>302.25081654657595</v>
      </c>
      <c r="H306" s="283">
        <v>345.86452523741627</v>
      </c>
    </row>
    <row r="307" spans="1:8">
      <c r="A307" s="404"/>
      <c r="B307" s="72">
        <v>93</v>
      </c>
      <c r="C307" s="283">
        <v>327.73688130573652</v>
      </c>
      <c r="D307" s="283">
        <v>326.14863726524436</v>
      </c>
      <c r="E307" s="283">
        <v>324.14117415396294</v>
      </c>
      <c r="F307" s="283">
        <v>323.51340061689774</v>
      </c>
      <c r="G307" s="283">
        <v>322.49851265938088</v>
      </c>
      <c r="H307" s="283">
        <v>368.38151255291638</v>
      </c>
    </row>
    <row r="308" spans="1:8">
      <c r="A308" s="404"/>
      <c r="B308" s="72">
        <v>94</v>
      </c>
      <c r="C308" s="283">
        <v>348.69655127397095</v>
      </c>
      <c r="D308" s="283">
        <v>346.68388833102955</v>
      </c>
      <c r="E308" s="283">
        <v>346.55343617698338</v>
      </c>
      <c r="F308" s="283">
        <v>345.59669642501285</v>
      </c>
      <c r="G308" s="283">
        <v>345.00410978805263</v>
      </c>
      <c r="H308" s="283">
        <v>394.74795597866762</v>
      </c>
    </row>
    <row r="309" spans="1:8">
      <c r="A309" s="404"/>
      <c r="B309" s="72">
        <v>95</v>
      </c>
      <c r="C309" s="283">
        <v>373.0533718886241</v>
      </c>
      <c r="D309" s="283">
        <v>372.85226248395395</v>
      </c>
      <c r="E309" s="283">
        <v>372.16754756227948</v>
      </c>
      <c r="F309" s="283">
        <v>370.31120202759257</v>
      </c>
      <c r="G309" s="283">
        <v>369.85640317280502</v>
      </c>
      <c r="H309" s="283">
        <v>422.33511255395484</v>
      </c>
    </row>
    <row r="310" spans="1:8">
      <c r="A310" s="404"/>
      <c r="B310" s="72">
        <v>96</v>
      </c>
      <c r="C310" s="283">
        <v>396.0723001798479</v>
      </c>
      <c r="D310" s="283">
        <v>394.26207473704977</v>
      </c>
      <c r="E310" s="283">
        <v>393.73732413463136</v>
      </c>
      <c r="F310" s="283">
        <v>390.56959045446803</v>
      </c>
      <c r="G310" s="283">
        <v>390.38217487464243</v>
      </c>
      <c r="H310" s="283">
        <v>446.53040656995989</v>
      </c>
    </row>
    <row r="311" spans="1:8">
      <c r="A311" s="404"/>
      <c r="B311" s="72">
        <v>97</v>
      </c>
      <c r="C311" s="283">
        <v>418.18405303073166</v>
      </c>
      <c r="D311" s="283">
        <v>415.4682634468586</v>
      </c>
      <c r="E311" s="283">
        <v>416.7787316862229</v>
      </c>
      <c r="F311" s="283">
        <v>413.94503067194478</v>
      </c>
      <c r="G311" s="283">
        <v>414.11595859943264</v>
      </c>
      <c r="H311" s="283">
        <v>472.7228459206143</v>
      </c>
    </row>
    <row r="312" spans="1:8">
      <c r="A312" s="404"/>
      <c r="B312" s="72">
        <v>98</v>
      </c>
      <c r="C312" s="283">
        <v>443.22274690205887</v>
      </c>
      <c r="D312" s="283">
        <v>436.57917810071166</v>
      </c>
      <c r="E312" s="283">
        <v>437.845173037091</v>
      </c>
      <c r="F312" s="283">
        <v>430.89639305210477</v>
      </c>
      <c r="G312" s="283">
        <v>437.58881144528829</v>
      </c>
      <c r="H312" s="283">
        <v>496.45110083776876</v>
      </c>
    </row>
    <row r="313" spans="1:8">
      <c r="A313" s="404"/>
      <c r="B313" s="72">
        <v>99</v>
      </c>
      <c r="C313" s="283">
        <v>461.71164269685238</v>
      </c>
      <c r="D313" s="283">
        <v>459.55052919502657</v>
      </c>
      <c r="E313" s="283">
        <v>453.81078125276429</v>
      </c>
      <c r="F313" s="283">
        <v>460.33795308899414</v>
      </c>
      <c r="G313" s="283">
        <v>460.37444338735958</v>
      </c>
      <c r="H313" s="283">
        <v>521.78291268247494</v>
      </c>
    </row>
    <row r="314" spans="1:8">
      <c r="A314" s="405"/>
      <c r="B314" s="72">
        <v>100</v>
      </c>
      <c r="C314" s="283">
        <v>520.20435344814712</v>
      </c>
      <c r="D314" s="283">
        <v>523.37269223004</v>
      </c>
      <c r="E314" s="283">
        <v>514.37402429151564</v>
      </c>
      <c r="F314" s="283">
        <v>517.86616848785764</v>
      </c>
      <c r="G314" s="283">
        <v>520.58719074648093</v>
      </c>
      <c r="H314" s="283">
        <v>590.23118119907701</v>
      </c>
    </row>
    <row r="317" spans="1:8" ht="14.4" thickBot="1">
      <c r="A317" s="160" t="s">
        <v>335</v>
      </c>
    </row>
    <row r="318" spans="1:8">
      <c r="C318" s="288">
        <v>2015</v>
      </c>
      <c r="D318" s="288">
        <v>2016</v>
      </c>
      <c r="E318" s="288">
        <v>2017</v>
      </c>
      <c r="F318" s="288">
        <v>2018</v>
      </c>
      <c r="G318" s="288">
        <v>2019</v>
      </c>
      <c r="H318" s="288">
        <v>2020</v>
      </c>
    </row>
    <row r="319" spans="1:8" ht="55.8" customHeight="1">
      <c r="A319" s="406" t="s">
        <v>460</v>
      </c>
      <c r="B319" s="72" t="s">
        <v>337</v>
      </c>
      <c r="C319" s="284">
        <v>0.50462377040136863</v>
      </c>
      <c r="D319" s="284">
        <v>0.50486905024302087</v>
      </c>
      <c r="E319" s="284">
        <v>0.50486905024302087</v>
      </c>
      <c r="F319" s="284">
        <v>0.50486905024302087</v>
      </c>
      <c r="G319" s="284">
        <v>0.50511408730620599</v>
      </c>
      <c r="H319" s="284">
        <v>0.50511408730620599</v>
      </c>
    </row>
    <row r="320" spans="1:8" ht="82.8" customHeight="1">
      <c r="A320" s="407"/>
      <c r="B320" s="72" t="s">
        <v>338</v>
      </c>
      <c r="C320" s="284">
        <v>0.49537622959863137</v>
      </c>
      <c r="D320" s="284">
        <v>0.49513094975697913</v>
      </c>
      <c r="E320" s="284">
        <v>0.49513094975697913</v>
      </c>
      <c r="F320" s="284">
        <v>0.49513094975697913</v>
      </c>
      <c r="G320" s="284">
        <v>0.49488591269379401</v>
      </c>
      <c r="H320" s="284">
        <v>0.49488591269379401</v>
      </c>
    </row>
    <row r="323" spans="1:105" ht="14.4" thickBot="1">
      <c r="A323" s="160" t="s">
        <v>339</v>
      </c>
    </row>
    <row r="324" spans="1:105">
      <c r="B324" s="288" t="s">
        <v>20</v>
      </c>
      <c r="C324" s="288" t="s">
        <v>21</v>
      </c>
      <c r="D324" s="288" t="s">
        <v>22</v>
      </c>
      <c r="E324" s="288">
        <v>2010</v>
      </c>
      <c r="F324" s="288">
        <v>2011</v>
      </c>
      <c r="G324" s="288">
        <v>2012</v>
      </c>
      <c r="H324" s="288">
        <v>2013</v>
      </c>
      <c r="I324" s="288">
        <v>2014</v>
      </c>
      <c r="J324" s="288">
        <v>2015</v>
      </c>
      <c r="K324" s="288">
        <v>2016</v>
      </c>
      <c r="L324" s="288">
        <v>2017</v>
      </c>
      <c r="M324" s="288">
        <v>2018</v>
      </c>
      <c r="N324" s="288">
        <v>2019</v>
      </c>
      <c r="O324" s="288">
        <v>2020</v>
      </c>
      <c r="P324" s="288">
        <v>2021</v>
      </c>
      <c r="Q324" s="288">
        <v>2022</v>
      </c>
    </row>
    <row r="325" spans="1:105" s="43" customFormat="1" ht="41.4">
      <c r="A325" s="229" t="s">
        <v>461</v>
      </c>
      <c r="B325" s="230" t="s">
        <v>341</v>
      </c>
      <c r="C325" s="285" t="s">
        <v>342</v>
      </c>
      <c r="D325" s="286" t="s">
        <v>343</v>
      </c>
      <c r="E325" s="286">
        <v>405778.80335763516</v>
      </c>
      <c r="F325" s="286">
        <v>418359.97259996575</v>
      </c>
      <c r="G325" s="286">
        <v>431228.67344460962</v>
      </c>
      <c r="H325" s="286">
        <v>441602.98483960476</v>
      </c>
      <c r="I325" s="286">
        <v>455215.30055221124</v>
      </c>
      <c r="J325" s="286">
        <v>463821.11559144745</v>
      </c>
      <c r="K325" s="286">
        <v>479184.70433847711</v>
      </c>
      <c r="L325" s="286">
        <v>491697.51795358566</v>
      </c>
      <c r="M325" s="286">
        <v>502817.26183287858</v>
      </c>
      <c r="N325" s="286">
        <v>515665.34535975259</v>
      </c>
      <c r="O325" s="286">
        <v>528119.32560354681</v>
      </c>
      <c r="P325" s="286">
        <v>539763.63710275036</v>
      </c>
      <c r="Q325" s="286">
        <v>551944.07653412386</v>
      </c>
      <c r="R325" s="287"/>
      <c r="S325" s="287"/>
      <c r="T325" s="287"/>
      <c r="U325" s="287"/>
      <c r="V325" s="287"/>
      <c r="W325" s="287"/>
      <c r="X325" s="287"/>
      <c r="Y325" s="287"/>
      <c r="Z325" s="287"/>
      <c r="AA325" s="287"/>
      <c r="AB325" s="287"/>
      <c r="AC325" s="287"/>
      <c r="AD325" s="287"/>
      <c r="AE325" s="287"/>
      <c r="AF325" s="287"/>
      <c r="AG325" s="287"/>
      <c r="AH325" s="287"/>
      <c r="AI325" s="287"/>
      <c r="AJ325" s="287"/>
      <c r="AK325" s="287"/>
      <c r="AL325" s="287"/>
      <c r="AM325" s="287"/>
      <c r="AN325" s="287"/>
      <c r="AO325" s="287"/>
      <c r="AP325" s="287"/>
      <c r="AQ325" s="287"/>
      <c r="AR325" s="287"/>
      <c r="AS325" s="287"/>
      <c r="AT325" s="287"/>
      <c r="AU325" s="287"/>
      <c r="AV325" s="287"/>
      <c r="AW325" s="287"/>
      <c r="AX325" s="287"/>
      <c r="AY325" s="287"/>
      <c r="AZ325" s="287"/>
      <c r="BA325" s="287"/>
      <c r="BB325" s="287"/>
      <c r="BC325" s="287"/>
      <c r="BD325" s="287"/>
      <c r="BE325" s="287"/>
      <c r="BF325" s="287"/>
      <c r="BG325" s="287"/>
      <c r="BH325" s="287"/>
      <c r="BI325" s="287"/>
      <c r="BJ325" s="287"/>
      <c r="BK325" s="287"/>
      <c r="BL325" s="287"/>
      <c r="BM325" s="287"/>
      <c r="BN325" s="287"/>
      <c r="BO325" s="287"/>
      <c r="BP325" s="287"/>
      <c r="BQ325" s="287"/>
      <c r="BR325" s="287"/>
      <c r="BS325" s="287"/>
      <c r="BT325" s="287"/>
      <c r="BU325" s="287"/>
      <c r="BV325" s="287"/>
      <c r="BW325" s="287"/>
      <c r="BX325" s="287"/>
      <c r="BY325" s="287"/>
      <c r="BZ325" s="287"/>
      <c r="CA325" s="287"/>
      <c r="CB325" s="287"/>
      <c r="CC325" s="287"/>
      <c r="CD325" s="287"/>
      <c r="CE325" s="287"/>
      <c r="CF325" s="287"/>
      <c r="CG325" s="287"/>
      <c r="CH325" s="287"/>
      <c r="CI325" s="287"/>
      <c r="CJ325" s="287"/>
      <c r="CK325" s="287"/>
      <c r="CL325" s="287"/>
      <c r="CM325" s="287"/>
      <c r="CN325" s="287"/>
      <c r="CO325" s="287"/>
      <c r="CP325" s="287"/>
      <c r="CQ325" s="287"/>
      <c r="CR325" s="287"/>
      <c r="CS325" s="287"/>
      <c r="CT325" s="287"/>
      <c r="CU325" s="287"/>
      <c r="CV325" s="287"/>
      <c r="CW325" s="287"/>
      <c r="CX325" s="287"/>
      <c r="CY325" s="287"/>
      <c r="CZ325" s="287"/>
    </row>
    <row r="329" spans="1:105" ht="14.4" thickBot="1">
      <c r="A329" s="160" t="s">
        <v>344</v>
      </c>
    </row>
    <row r="330" spans="1:105" ht="14.4" customHeight="1" thickBot="1">
      <c r="D330" s="288">
        <v>0</v>
      </c>
      <c r="E330" s="288">
        <v>1</v>
      </c>
      <c r="F330" s="288">
        <v>2</v>
      </c>
      <c r="G330" s="288">
        <v>3</v>
      </c>
      <c r="H330" s="288">
        <v>4</v>
      </c>
      <c r="I330" s="288">
        <v>5</v>
      </c>
      <c r="J330" s="288">
        <v>6</v>
      </c>
      <c r="K330" s="288">
        <v>7</v>
      </c>
      <c r="L330" s="288">
        <v>8</v>
      </c>
      <c r="M330" s="288">
        <v>9</v>
      </c>
      <c r="N330" s="288">
        <v>10</v>
      </c>
      <c r="O330" s="288">
        <v>11</v>
      </c>
      <c r="P330" s="288">
        <v>12</v>
      </c>
      <c r="Q330" s="288">
        <v>13</v>
      </c>
      <c r="R330" s="288">
        <v>14</v>
      </c>
      <c r="S330" s="288">
        <v>15</v>
      </c>
      <c r="T330" s="288">
        <v>16</v>
      </c>
      <c r="U330" s="288">
        <v>17</v>
      </c>
      <c r="V330" s="288">
        <v>18</v>
      </c>
      <c r="W330" s="288">
        <v>19</v>
      </c>
      <c r="X330" s="288">
        <v>20</v>
      </c>
      <c r="Y330" s="288">
        <v>21</v>
      </c>
      <c r="Z330" s="288">
        <v>22</v>
      </c>
      <c r="AA330" s="288">
        <v>23</v>
      </c>
      <c r="AB330" s="288">
        <v>24</v>
      </c>
      <c r="AC330" s="288">
        <v>25</v>
      </c>
      <c r="AD330" s="288">
        <v>26</v>
      </c>
      <c r="AE330" s="288">
        <v>27</v>
      </c>
      <c r="AF330" s="288">
        <v>28</v>
      </c>
      <c r="AG330" s="288">
        <v>29</v>
      </c>
      <c r="AH330" s="288">
        <v>30</v>
      </c>
      <c r="AI330" s="288">
        <v>31</v>
      </c>
      <c r="AJ330" s="288">
        <v>32</v>
      </c>
      <c r="AK330" s="288">
        <v>33</v>
      </c>
      <c r="AL330" s="288">
        <v>34</v>
      </c>
      <c r="AM330" s="288">
        <v>35</v>
      </c>
      <c r="AN330" s="288">
        <v>36</v>
      </c>
      <c r="AO330" s="288">
        <v>37</v>
      </c>
      <c r="AP330" s="288">
        <v>38</v>
      </c>
      <c r="AQ330" s="288">
        <v>39</v>
      </c>
      <c r="AR330" s="288">
        <v>40</v>
      </c>
      <c r="AS330" s="288">
        <v>41</v>
      </c>
      <c r="AT330" s="288">
        <v>42</v>
      </c>
      <c r="AU330" s="288">
        <v>43</v>
      </c>
      <c r="AV330" s="288">
        <v>44</v>
      </c>
      <c r="AW330" s="288">
        <v>45</v>
      </c>
      <c r="AX330" s="288">
        <v>46</v>
      </c>
      <c r="AY330" s="288">
        <v>47</v>
      </c>
      <c r="AZ330" s="288">
        <v>48</v>
      </c>
      <c r="BA330" s="288">
        <v>49</v>
      </c>
      <c r="BB330" s="288">
        <v>50</v>
      </c>
      <c r="BC330" s="288">
        <v>51</v>
      </c>
      <c r="BD330" s="288">
        <v>52</v>
      </c>
      <c r="BE330" s="288">
        <v>53</v>
      </c>
      <c r="BF330" s="288">
        <v>54</v>
      </c>
      <c r="BG330" s="288">
        <v>55</v>
      </c>
      <c r="BH330" s="288">
        <v>56</v>
      </c>
      <c r="BI330" s="288">
        <v>57</v>
      </c>
      <c r="BJ330" s="288">
        <v>58</v>
      </c>
      <c r="BK330" s="288">
        <v>59</v>
      </c>
      <c r="BL330" s="288">
        <v>60</v>
      </c>
      <c r="BM330" s="288">
        <v>61</v>
      </c>
      <c r="BN330" s="288">
        <v>62</v>
      </c>
      <c r="BO330" s="288">
        <v>63</v>
      </c>
      <c r="BP330" s="288">
        <v>64</v>
      </c>
      <c r="BQ330" s="288">
        <v>65</v>
      </c>
      <c r="BR330" s="288">
        <v>66</v>
      </c>
      <c r="BS330" s="288">
        <v>67</v>
      </c>
      <c r="BT330" s="288">
        <v>68</v>
      </c>
      <c r="BU330" s="288">
        <v>69</v>
      </c>
      <c r="BV330" s="288">
        <v>70</v>
      </c>
      <c r="BW330" s="288">
        <v>71</v>
      </c>
      <c r="BX330" s="288">
        <v>72</v>
      </c>
      <c r="BY330" s="288">
        <v>73</v>
      </c>
      <c r="BZ330" s="288">
        <v>74</v>
      </c>
      <c r="CA330" s="288">
        <v>75</v>
      </c>
      <c r="CB330" s="288">
        <v>76</v>
      </c>
      <c r="CC330" s="288">
        <v>77</v>
      </c>
      <c r="CD330" s="288">
        <v>78</v>
      </c>
      <c r="CE330" s="288">
        <v>79</v>
      </c>
      <c r="CF330" s="288">
        <v>80</v>
      </c>
      <c r="CG330" s="288">
        <v>81</v>
      </c>
      <c r="CH330" s="288">
        <v>82</v>
      </c>
      <c r="CI330" s="288">
        <v>83</v>
      </c>
      <c r="CJ330" s="288">
        <v>84</v>
      </c>
      <c r="CK330" s="288">
        <v>85</v>
      </c>
      <c r="CL330" s="288">
        <v>86</v>
      </c>
      <c r="CM330" s="288">
        <v>87</v>
      </c>
      <c r="CN330" s="288">
        <v>88</v>
      </c>
      <c r="CO330" s="288">
        <v>89</v>
      </c>
      <c r="CP330" s="288">
        <v>90</v>
      </c>
      <c r="CQ330" s="288">
        <v>91</v>
      </c>
      <c r="CR330" s="288">
        <v>92</v>
      </c>
      <c r="CS330" s="288">
        <v>93</v>
      </c>
      <c r="CT330" s="288">
        <v>94</v>
      </c>
      <c r="CU330" s="288">
        <v>95</v>
      </c>
      <c r="CV330" s="288">
        <v>96</v>
      </c>
      <c r="CW330" s="288">
        <v>97</v>
      </c>
      <c r="CX330" s="288">
        <v>98</v>
      </c>
      <c r="CY330" s="288">
        <v>99</v>
      </c>
      <c r="CZ330" s="288">
        <v>100</v>
      </c>
      <c r="DA330" s="190"/>
    </row>
    <row r="331" spans="1:105" s="43" customFormat="1" ht="49.2" customHeight="1" thickBot="1">
      <c r="A331" s="408" t="s">
        <v>462</v>
      </c>
      <c r="B331" s="72" t="s">
        <v>337</v>
      </c>
      <c r="C331" s="288">
        <v>2015</v>
      </c>
      <c r="D331" s="286">
        <v>8244.7041462266352</v>
      </c>
      <c r="E331" s="286">
        <v>8041.9065961581728</v>
      </c>
      <c r="F331" s="286">
        <v>7810.3344688865827</v>
      </c>
      <c r="G331" s="286">
        <v>7589.6068362506339</v>
      </c>
      <c r="H331" s="286">
        <v>7440.5511861441919</v>
      </c>
      <c r="I331" s="286">
        <v>7315.4726959463133</v>
      </c>
      <c r="J331" s="286">
        <v>7176.1233913006981</v>
      </c>
      <c r="K331" s="286">
        <v>7030.7520128217775</v>
      </c>
      <c r="L331" s="286">
        <v>6883.7380909746626</v>
      </c>
      <c r="M331" s="286">
        <v>6712.6698257744529</v>
      </c>
      <c r="N331" s="286">
        <v>6492.422372123121</v>
      </c>
      <c r="O331" s="286">
        <v>6240.0903901481561</v>
      </c>
      <c r="P331" s="286">
        <v>5988.3287873427225</v>
      </c>
      <c r="Q331" s="286">
        <v>5769.7173523079864</v>
      </c>
      <c r="R331" s="286">
        <v>5579.2845841336402</v>
      </c>
      <c r="S331" s="286">
        <v>5407.8250777299309</v>
      </c>
      <c r="T331" s="286">
        <v>5249.1410943666533</v>
      </c>
      <c r="U331" s="286">
        <v>5062.6298861980576</v>
      </c>
      <c r="V331" s="286">
        <v>4871.8020997711264</v>
      </c>
      <c r="W331" s="286">
        <v>4695.0315170409249</v>
      </c>
      <c r="X331" s="286">
        <v>4503.5854420369606</v>
      </c>
      <c r="Y331" s="286">
        <v>4312.8377734123933</v>
      </c>
      <c r="Z331" s="286">
        <v>4147.0904474620593</v>
      </c>
      <c r="AA331" s="286">
        <v>3996.7404678724747</v>
      </c>
      <c r="AB331" s="286">
        <v>3845.8314967482224</v>
      </c>
      <c r="AC331" s="286">
        <v>3704.0483318314732</v>
      </c>
      <c r="AD331" s="286">
        <v>3583.1814736058586</v>
      </c>
      <c r="AE331" s="286">
        <v>3446.3594620232516</v>
      </c>
      <c r="AF331" s="286">
        <v>3303.8213790028049</v>
      </c>
      <c r="AG331" s="286">
        <v>3196.4063864031477</v>
      </c>
      <c r="AH331" s="286">
        <v>3101.1351690082815</v>
      </c>
      <c r="AI331" s="286">
        <v>3010.4426763999363</v>
      </c>
      <c r="AJ331" s="286">
        <v>2928.4592506778968</v>
      </c>
      <c r="AK331" s="286">
        <v>2838.9668524889848</v>
      </c>
      <c r="AL331" s="286">
        <v>2740.1615322126104</v>
      </c>
      <c r="AM331" s="286">
        <v>2631.7825419210785</v>
      </c>
      <c r="AN331" s="286">
        <v>2513.5651878477001</v>
      </c>
      <c r="AO331" s="286">
        <v>2396.6373498316339</v>
      </c>
      <c r="AP331" s="286">
        <v>2281.972678359683</v>
      </c>
      <c r="AQ331" s="286">
        <v>2174.4392991694758</v>
      </c>
      <c r="AR331" s="286">
        <v>2067.3012515425239</v>
      </c>
      <c r="AS331" s="286">
        <v>1953.9576111229251</v>
      </c>
      <c r="AT331" s="286">
        <v>1840.2349094493836</v>
      </c>
      <c r="AU331" s="286">
        <v>1729.9163617005656</v>
      </c>
      <c r="AV331" s="286">
        <v>1621.3584927772285</v>
      </c>
      <c r="AW331" s="286">
        <v>1515.0325494239712</v>
      </c>
      <c r="AX331" s="286">
        <v>1414.1377687233044</v>
      </c>
      <c r="AY331" s="286">
        <v>1318.5706326969394</v>
      </c>
      <c r="AZ331" s="286">
        <v>1228.4701597395654</v>
      </c>
      <c r="BA331" s="286">
        <v>1143.0438868624319</v>
      </c>
      <c r="BB331" s="286">
        <v>1067.0571807913634</v>
      </c>
      <c r="BC331" s="286">
        <v>1003.7103545679805</v>
      </c>
      <c r="BD331" s="286">
        <v>948.45713607330867</v>
      </c>
      <c r="BE331" s="286">
        <v>898.82261205971395</v>
      </c>
      <c r="BF331" s="286">
        <v>855.9437338582253</v>
      </c>
      <c r="BG331" s="286">
        <v>818.3146857461594</v>
      </c>
      <c r="BH331" s="286">
        <v>784.1941490907634</v>
      </c>
      <c r="BI331" s="286">
        <v>752.71728465043304</v>
      </c>
      <c r="BJ331" s="286">
        <v>721.27501546514964</v>
      </c>
      <c r="BK331" s="286">
        <v>690.35390535144904</v>
      </c>
      <c r="BL331" s="286">
        <v>661.39535813606244</v>
      </c>
      <c r="BM331" s="286">
        <v>635.37216466825896</v>
      </c>
      <c r="BN331" s="286">
        <v>610.19643392199282</v>
      </c>
      <c r="BO331" s="286">
        <v>583.32679996697823</v>
      </c>
      <c r="BP331" s="286">
        <v>554.90632770795128</v>
      </c>
      <c r="BQ331" s="286">
        <v>533.87350303379719</v>
      </c>
      <c r="BR331" s="286">
        <v>516.39626025555174</v>
      </c>
      <c r="BS331" s="286">
        <v>503.2885849333756</v>
      </c>
      <c r="BT331" s="286">
        <v>484.34470745319419</v>
      </c>
      <c r="BU331" s="286">
        <v>450.68079299218999</v>
      </c>
      <c r="BV331" s="286">
        <v>414.01409907239645</v>
      </c>
      <c r="BW331" s="286">
        <v>377.91239858513904</v>
      </c>
      <c r="BX331" s="286">
        <v>343.50670175956861</v>
      </c>
      <c r="BY331" s="286">
        <v>310.58929907149889</v>
      </c>
      <c r="BZ331" s="286">
        <v>279.68657612197296</v>
      </c>
      <c r="CA331" s="286">
        <v>251.07483883508277</v>
      </c>
      <c r="CB331" s="286">
        <v>224.89144373718412</v>
      </c>
      <c r="CC331" s="286">
        <v>200.27263687649469</v>
      </c>
      <c r="CD331" s="286">
        <v>176.60907467700483</v>
      </c>
      <c r="CE331" s="286">
        <v>154.5082493872076</v>
      </c>
      <c r="CF331" s="286">
        <v>134.535093643648</v>
      </c>
      <c r="CG331" s="286">
        <v>116.63649184490392</v>
      </c>
      <c r="CH331" s="286">
        <v>100.33802903529343</v>
      </c>
      <c r="CI331" s="286">
        <v>85.217432832002814</v>
      </c>
      <c r="CJ331" s="286">
        <v>71.707721066503083</v>
      </c>
      <c r="CK331" s="286">
        <v>59.710626892851238</v>
      </c>
      <c r="CL331" s="286">
        <v>48.790756038825037</v>
      </c>
      <c r="CM331" s="286">
        <v>39.161905325357282</v>
      </c>
      <c r="CN331" s="286">
        <v>31.091012907441343</v>
      </c>
      <c r="CO331" s="286">
        <v>24.413712442209846</v>
      </c>
      <c r="CP331" s="286">
        <v>18.934038615326177</v>
      </c>
      <c r="CQ331" s="286">
        <v>14.541739446537644</v>
      </c>
      <c r="CR331" s="286">
        <v>11.128560477976491</v>
      </c>
      <c r="CS331" s="286">
        <v>8.5440665581931761</v>
      </c>
      <c r="CT331" s="286">
        <v>6.5402445295745197</v>
      </c>
      <c r="CU331" s="286">
        <v>4.9458314504973968</v>
      </c>
      <c r="CV331" s="286">
        <v>3.6614412515963553</v>
      </c>
      <c r="CW331" s="286">
        <v>2.6554749614021418</v>
      </c>
      <c r="CX331" s="286">
        <v>1.8771934192437727</v>
      </c>
      <c r="CY331" s="286">
        <v>1.2877221365299798</v>
      </c>
      <c r="CZ331" s="286">
        <v>2.3253388634702632</v>
      </c>
      <c r="DA331" s="233"/>
    </row>
    <row r="332" spans="1:105" s="43" customFormat="1" ht="59.4" customHeight="1">
      <c r="A332" s="409"/>
      <c r="B332" s="72" t="s">
        <v>338</v>
      </c>
      <c r="C332" s="288">
        <v>2015</v>
      </c>
      <c r="D332" s="286">
        <v>8136.979181667718</v>
      </c>
      <c r="E332" s="286">
        <v>7957.5659501275641</v>
      </c>
      <c r="F332" s="286">
        <v>7741.9091193651084</v>
      </c>
      <c r="G332" s="286">
        <v>7535.0276803454744</v>
      </c>
      <c r="H332" s="286">
        <v>7397.3787233657304</v>
      </c>
      <c r="I332" s="286">
        <v>7284.5595980138714</v>
      </c>
      <c r="J332" s="286">
        <v>7159.0858113160893</v>
      </c>
      <c r="K332" s="286">
        <v>7023.7411716831139</v>
      </c>
      <c r="L332" s="286">
        <v>6884.0344818727053</v>
      </c>
      <c r="M332" s="286">
        <v>6718.7498026096755</v>
      </c>
      <c r="N332" s="286">
        <v>6502.3829362820679</v>
      </c>
      <c r="O332" s="286">
        <v>6251.9257817460611</v>
      </c>
      <c r="P332" s="286">
        <v>5999.5940641686893</v>
      </c>
      <c r="Q332" s="286">
        <v>5779.4356840739092</v>
      </c>
      <c r="R332" s="286">
        <v>5587.3885965935906</v>
      </c>
      <c r="S332" s="286">
        <v>5413.319412048465</v>
      </c>
      <c r="T332" s="286">
        <v>5252.8845878875054</v>
      </c>
      <c r="U332" s="286">
        <v>5072.2305092083843</v>
      </c>
      <c r="V332" s="286">
        <v>4895.8436704869237</v>
      </c>
      <c r="W332" s="286">
        <v>4738.6448025895943</v>
      </c>
      <c r="X332" s="286">
        <v>4570.8412329534021</v>
      </c>
      <c r="Y332" s="286">
        <v>4407.745160430356</v>
      </c>
      <c r="Z332" s="286">
        <v>4272.1374657185861</v>
      </c>
      <c r="AA332" s="286">
        <v>4153.557632044437</v>
      </c>
      <c r="AB332" s="286">
        <v>4036.1527716235855</v>
      </c>
      <c r="AC332" s="286">
        <v>3929.9665507769687</v>
      </c>
      <c r="AD332" s="286">
        <v>3839.6163863917236</v>
      </c>
      <c r="AE332" s="286">
        <v>3724.0445587058261</v>
      </c>
      <c r="AF332" s="286">
        <v>3597.818896548798</v>
      </c>
      <c r="AG332" s="286">
        <v>3496.2870676743728</v>
      </c>
      <c r="AH332" s="286">
        <v>3394.2504422150682</v>
      </c>
      <c r="AI332" s="286">
        <v>3286.4820937216855</v>
      </c>
      <c r="AJ332" s="286">
        <v>3172.9308843240074</v>
      </c>
      <c r="AK332" s="286">
        <v>3042.9710933186684</v>
      </c>
      <c r="AL332" s="286">
        <v>2901.2355550430948</v>
      </c>
      <c r="AM332" s="286">
        <v>2749.1470910519006</v>
      </c>
      <c r="AN332" s="286">
        <v>2591.1279506296773</v>
      </c>
      <c r="AO332" s="286">
        <v>2435.533653343015</v>
      </c>
      <c r="AP332" s="286">
        <v>2288.6362904837297</v>
      </c>
      <c r="AQ332" s="286">
        <v>2157.4745186680866</v>
      </c>
      <c r="AR332" s="286">
        <v>2039.4502156350877</v>
      </c>
      <c r="AS332" s="286">
        <v>1927.1480306245612</v>
      </c>
      <c r="AT332" s="286">
        <v>1823.5713991312268</v>
      </c>
      <c r="AU332" s="286">
        <v>1736.0788547885543</v>
      </c>
      <c r="AV332" s="286">
        <v>1657.0285700998913</v>
      </c>
      <c r="AW332" s="286">
        <v>1582.3607163005702</v>
      </c>
      <c r="AX332" s="286">
        <v>1512.1682494379479</v>
      </c>
      <c r="AY332" s="286">
        <v>1445.2921179013219</v>
      </c>
      <c r="AZ332" s="286">
        <v>1380.4077401196319</v>
      </c>
      <c r="BA332" s="286">
        <v>1316.0496122045829</v>
      </c>
      <c r="BB332" s="286">
        <v>1256.4164713137693</v>
      </c>
      <c r="BC332" s="286">
        <v>1204.6867256097771</v>
      </c>
      <c r="BD332" s="286">
        <v>1157.2577145564976</v>
      </c>
      <c r="BE332" s="286">
        <v>1112.5878471567864</v>
      </c>
      <c r="BF332" s="286">
        <v>1072.298545176481</v>
      </c>
      <c r="BG332" s="286">
        <v>1034.7009074137566</v>
      </c>
      <c r="BH332" s="286">
        <v>998.18515932353068</v>
      </c>
      <c r="BI332" s="286">
        <v>962.0835544029203</v>
      </c>
      <c r="BJ332" s="286">
        <v>923.714621907376</v>
      </c>
      <c r="BK332" s="286">
        <v>883.97378375710298</v>
      </c>
      <c r="BL332" s="286">
        <v>844.37302950016021</v>
      </c>
      <c r="BM332" s="286">
        <v>806.36645333929232</v>
      </c>
      <c r="BN332" s="286">
        <v>767.97314508706847</v>
      </c>
      <c r="BO332" s="286">
        <v>726.5502698225755</v>
      </c>
      <c r="BP332" s="286">
        <v>682.77397699020264</v>
      </c>
      <c r="BQ332" s="286">
        <v>654.96933828812871</v>
      </c>
      <c r="BR332" s="286">
        <v>632.84285768094128</v>
      </c>
      <c r="BS332" s="286">
        <v>612.64593164694395</v>
      </c>
      <c r="BT332" s="286">
        <v>587.44160670644487</v>
      </c>
      <c r="BU332" s="286">
        <v>544.13769737376856</v>
      </c>
      <c r="BV332" s="286">
        <v>499.15320664140188</v>
      </c>
      <c r="BW332" s="286">
        <v>456.19412469431228</v>
      </c>
      <c r="BX332" s="286">
        <v>416.7571228788683</v>
      </c>
      <c r="BY332" s="286">
        <v>380.63549043207621</v>
      </c>
      <c r="BZ332" s="286">
        <v>347.81745741144772</v>
      </c>
      <c r="CA332" s="286">
        <v>318.37193013830159</v>
      </c>
      <c r="CB332" s="286">
        <v>292.28497742122005</v>
      </c>
      <c r="CC332" s="286">
        <v>267.8497986845818</v>
      </c>
      <c r="CD332" s="286">
        <v>243.64500858982015</v>
      </c>
      <c r="CE332" s="286">
        <v>220.39387028487781</v>
      </c>
      <c r="CF332" s="286">
        <v>199.12857630708953</v>
      </c>
      <c r="CG332" s="286">
        <v>179.64110721085598</v>
      </c>
      <c r="CH332" s="286">
        <v>160.99901791489754</v>
      </c>
      <c r="CI332" s="286">
        <v>142.94193120892524</v>
      </c>
      <c r="CJ332" s="286">
        <v>125.81263143232151</v>
      </c>
      <c r="CK332" s="286">
        <v>109.66145309475266</v>
      </c>
      <c r="CL332" s="286">
        <v>94.408770158881254</v>
      </c>
      <c r="CM332" s="286">
        <v>80.219637807353948</v>
      </c>
      <c r="CN332" s="286">
        <v>67.323807307544755</v>
      </c>
      <c r="CO332" s="286">
        <v>55.848294388156837</v>
      </c>
      <c r="CP332" s="286">
        <v>45.72493303292778</v>
      </c>
      <c r="CQ332" s="286">
        <v>37.011737919650542</v>
      </c>
      <c r="CR332" s="286">
        <v>29.729347379315591</v>
      </c>
      <c r="CS332" s="286">
        <v>23.7501515730319</v>
      </c>
      <c r="CT332" s="286">
        <v>18.808090644768587</v>
      </c>
      <c r="CU332" s="286">
        <v>14.659026019452407</v>
      </c>
      <c r="CV332" s="286">
        <v>11.213344047821094</v>
      </c>
      <c r="CW332" s="286">
        <v>8.4136241622694552</v>
      </c>
      <c r="CX332" s="286">
        <v>6.1677558105540529</v>
      </c>
      <c r="CY332" s="286">
        <v>4.3933061309430803</v>
      </c>
      <c r="CZ332" s="286">
        <v>8.62407971485902</v>
      </c>
      <c r="DA332" s="233"/>
    </row>
    <row r="335" spans="1:105" ht="14.4" thickBot="1">
      <c r="A335" s="160" t="s">
        <v>346</v>
      </c>
    </row>
    <row r="336" spans="1:105">
      <c r="B336" s="288" t="s">
        <v>20</v>
      </c>
      <c r="C336" s="288" t="s">
        <v>21</v>
      </c>
      <c r="D336" s="288" t="s">
        <v>22</v>
      </c>
      <c r="E336" s="288">
        <v>2020</v>
      </c>
      <c r="F336" s="288">
        <v>2021</v>
      </c>
      <c r="G336" s="288">
        <v>2022</v>
      </c>
      <c r="H336" s="288">
        <v>2023</v>
      </c>
      <c r="I336" s="288">
        <v>2024</v>
      </c>
      <c r="J336" s="288">
        <v>2025</v>
      </c>
      <c r="K336" s="288">
        <v>2026</v>
      </c>
      <c r="L336" s="288">
        <v>2027</v>
      </c>
      <c r="M336" s="288">
        <v>2028</v>
      </c>
      <c r="N336" s="288">
        <v>2029</v>
      </c>
      <c r="O336" s="288">
        <v>2030</v>
      </c>
      <c r="P336" s="288">
        <v>2031</v>
      </c>
      <c r="Q336" s="288">
        <v>2032</v>
      </c>
      <c r="R336" s="288">
        <v>2033</v>
      </c>
      <c r="S336" s="288">
        <v>2034</v>
      </c>
      <c r="T336" s="288">
        <v>2035</v>
      </c>
      <c r="U336" s="288">
        <v>2036</v>
      </c>
      <c r="V336" s="288">
        <v>2037</v>
      </c>
      <c r="W336" s="288">
        <v>2038</v>
      </c>
      <c r="X336" s="288">
        <v>2039</v>
      </c>
      <c r="Y336" s="288">
        <v>2040</v>
      </c>
      <c r="Z336" s="288">
        <v>2041</v>
      </c>
      <c r="AA336" s="288">
        <v>2042</v>
      </c>
      <c r="AB336" s="288">
        <v>2043</v>
      </c>
      <c r="AC336" s="288">
        <v>2044</v>
      </c>
      <c r="AD336" s="288">
        <v>2045</v>
      </c>
      <c r="AE336" s="288">
        <v>2046</v>
      </c>
      <c r="AF336" s="288">
        <v>2047</v>
      </c>
      <c r="AG336" s="288">
        <v>2048</v>
      </c>
      <c r="AH336" s="288">
        <v>2049</v>
      </c>
      <c r="AI336" s="288">
        <v>2050</v>
      </c>
      <c r="AJ336" s="288">
        <v>2055</v>
      </c>
      <c r="AK336" s="288">
        <v>2060</v>
      </c>
      <c r="AL336" s="288">
        <v>2065</v>
      </c>
      <c r="AM336" s="288">
        <v>2070</v>
      </c>
      <c r="AN336" s="288">
        <v>2075</v>
      </c>
      <c r="AO336" s="288">
        <v>2080</v>
      </c>
      <c r="AP336" s="288">
        <v>2085</v>
      </c>
      <c r="AQ336" s="288">
        <v>2090</v>
      </c>
      <c r="AR336" s="288">
        <v>2095</v>
      </c>
      <c r="AS336" s="288">
        <v>2100</v>
      </c>
    </row>
    <row r="337" spans="1:45">
      <c r="A337" s="229" t="s">
        <v>347</v>
      </c>
      <c r="B337" s="394" t="s">
        <v>348</v>
      </c>
      <c r="C337" s="445" t="s">
        <v>463</v>
      </c>
      <c r="D337" s="448" t="s">
        <v>343</v>
      </c>
      <c r="E337" s="286">
        <v>528119.32559999998</v>
      </c>
      <c r="F337" s="286">
        <v>531488.65893999999</v>
      </c>
      <c r="G337" s="286">
        <v>534857.99228000001</v>
      </c>
      <c r="H337" s="286">
        <v>538227.32562000002</v>
      </c>
      <c r="I337" s="286">
        <v>541596.65896000003</v>
      </c>
      <c r="J337" s="286">
        <v>544965.99230000004</v>
      </c>
      <c r="K337" s="286">
        <v>547839.42034000007</v>
      </c>
      <c r="L337" s="286">
        <v>550712.84837999998</v>
      </c>
      <c r="M337" s="286">
        <v>553586.27642000001</v>
      </c>
      <c r="N337" s="286">
        <v>556459.70445999992</v>
      </c>
      <c r="O337" s="286">
        <v>559333.13249999995</v>
      </c>
      <c r="P337" s="286">
        <v>565155.43559999997</v>
      </c>
      <c r="Q337" s="286">
        <v>570977.73869999999</v>
      </c>
      <c r="R337" s="286">
        <v>576800.04180000001</v>
      </c>
      <c r="S337" s="286">
        <v>582622.34490000003</v>
      </c>
      <c r="T337" s="286">
        <v>588444.64800000004</v>
      </c>
      <c r="U337" s="286">
        <v>593705.44304000004</v>
      </c>
      <c r="V337" s="286">
        <v>598966.23808000004</v>
      </c>
      <c r="W337" s="286">
        <v>604227.03312000004</v>
      </c>
      <c r="X337" s="286">
        <v>609487.82816000003</v>
      </c>
      <c r="Y337" s="286">
        <v>614748.62320000003</v>
      </c>
      <c r="Z337" s="286">
        <v>617997.52512000001</v>
      </c>
      <c r="AA337" s="286">
        <v>621246.42703999998</v>
      </c>
      <c r="AB337" s="286">
        <v>624495.32896000007</v>
      </c>
      <c r="AC337" s="286">
        <v>627744.23088000005</v>
      </c>
      <c r="AD337" s="286">
        <v>630993.13280000002</v>
      </c>
      <c r="AE337" s="286">
        <v>633959.26526000001</v>
      </c>
      <c r="AF337" s="286">
        <v>636925.39772000001</v>
      </c>
      <c r="AG337" s="286">
        <v>639891.53018</v>
      </c>
      <c r="AH337" s="286">
        <v>642857.66264</v>
      </c>
      <c r="AI337" s="286">
        <v>645823.79509999999</v>
      </c>
      <c r="AJ337" s="286">
        <v>734971.49924695399</v>
      </c>
      <c r="AK337" s="286">
        <v>826896.07980004547</v>
      </c>
      <c r="AL337" s="286">
        <v>837556.78418641444</v>
      </c>
      <c r="AM337" s="286">
        <v>849853.5956582803</v>
      </c>
      <c r="AN337" s="286">
        <v>856428.85814702441</v>
      </c>
      <c r="AO337" s="286">
        <v>863001.87894970365</v>
      </c>
      <c r="AP337" s="286">
        <v>863702.73861536779</v>
      </c>
      <c r="AQ337" s="286">
        <v>862868.23808766261</v>
      </c>
      <c r="AR337" s="286">
        <v>855587.85569788527</v>
      </c>
      <c r="AS337" s="286">
        <v>852065.13117444376</v>
      </c>
    </row>
    <row r="338" spans="1:45">
      <c r="A338" s="229" t="s">
        <v>350</v>
      </c>
      <c r="B338" s="410"/>
      <c r="C338" s="446"/>
      <c r="D338" s="449"/>
      <c r="E338" s="286">
        <v>528119.32559999998</v>
      </c>
      <c r="F338" s="286">
        <v>540127.02585999994</v>
      </c>
      <c r="G338" s="286">
        <v>552134.72612000001</v>
      </c>
      <c r="H338" s="286">
        <v>564142.42637999996</v>
      </c>
      <c r="I338" s="286">
        <v>576150.12664000003</v>
      </c>
      <c r="J338" s="286">
        <v>588157.82689999999</v>
      </c>
      <c r="K338" s="286">
        <v>601007.39211999997</v>
      </c>
      <c r="L338" s="286">
        <v>613856.95733999996</v>
      </c>
      <c r="M338" s="286">
        <v>626706.52256000007</v>
      </c>
      <c r="N338" s="286">
        <v>639556.08778000006</v>
      </c>
      <c r="O338" s="286">
        <v>652405.65300000005</v>
      </c>
      <c r="P338" s="286">
        <v>664247.52138000005</v>
      </c>
      <c r="Q338" s="286">
        <v>676089.38976000005</v>
      </c>
      <c r="R338" s="286">
        <v>687931.25814000005</v>
      </c>
      <c r="S338" s="286">
        <v>699773.12652000005</v>
      </c>
      <c r="T338" s="286">
        <v>711614.99490000005</v>
      </c>
      <c r="U338" s="286">
        <v>723310.09734000009</v>
      </c>
      <c r="V338" s="286">
        <v>735005.19978000002</v>
      </c>
      <c r="W338" s="286">
        <v>746700.30222000007</v>
      </c>
      <c r="X338" s="286">
        <v>758395.40466</v>
      </c>
      <c r="Y338" s="286">
        <v>770090.50710000005</v>
      </c>
      <c r="Z338" s="286">
        <v>780802.86368000007</v>
      </c>
      <c r="AA338" s="286">
        <v>791515.22026000009</v>
      </c>
      <c r="AB338" s="286">
        <v>802227.57683999999</v>
      </c>
      <c r="AC338" s="286">
        <v>812939.93342000002</v>
      </c>
      <c r="AD338" s="286">
        <v>823652.29</v>
      </c>
      <c r="AE338" s="286">
        <v>833934.84140000003</v>
      </c>
      <c r="AF338" s="286">
        <v>844217.39280000003</v>
      </c>
      <c r="AG338" s="286">
        <v>854499.94420000003</v>
      </c>
      <c r="AH338" s="286">
        <v>864782.49560000002</v>
      </c>
      <c r="AI338" s="286">
        <v>875065.04700000002</v>
      </c>
      <c r="AJ338" s="286">
        <v>913355.10076087527</v>
      </c>
      <c r="AK338" s="286">
        <v>946102.87365947152</v>
      </c>
      <c r="AL338" s="286">
        <v>977742.30868630018</v>
      </c>
      <c r="AM338" s="286">
        <v>1003106.414591522</v>
      </c>
      <c r="AN338" s="286">
        <v>1024070.643766329</v>
      </c>
      <c r="AO338" s="286">
        <v>1041918.060555674</v>
      </c>
      <c r="AP338" s="286">
        <v>1057610.068776065</v>
      </c>
      <c r="AQ338" s="286">
        <v>1069068.9535640599</v>
      </c>
      <c r="AR338" s="286">
        <v>1081031.1414058099</v>
      </c>
      <c r="AS338" s="286">
        <v>1089903.5327662991</v>
      </c>
    </row>
    <row r="339" spans="1:45">
      <c r="A339" s="229" t="s">
        <v>351</v>
      </c>
      <c r="B339" s="410"/>
      <c r="C339" s="446"/>
      <c r="D339" s="449"/>
      <c r="E339" s="286">
        <v>528119.32559999998</v>
      </c>
      <c r="F339" s="286">
        <v>542526.08314</v>
      </c>
      <c r="G339" s="286">
        <v>556932.84068000002</v>
      </c>
      <c r="H339" s="286">
        <v>571339.59821999993</v>
      </c>
      <c r="I339" s="286">
        <v>585746.35575999995</v>
      </c>
      <c r="J339" s="286">
        <v>600153.11329999997</v>
      </c>
      <c r="K339" s="286">
        <v>615780.95147999993</v>
      </c>
      <c r="L339" s="286">
        <v>631408.78966000001</v>
      </c>
      <c r="M339" s="286">
        <v>647036.62783999997</v>
      </c>
      <c r="N339" s="286">
        <v>662664.46602000005</v>
      </c>
      <c r="O339" s="286">
        <v>678292.30420000001</v>
      </c>
      <c r="P339" s="286">
        <v>693684.32250000001</v>
      </c>
      <c r="Q339" s="286">
        <v>709076.34080000001</v>
      </c>
      <c r="R339" s="286">
        <v>724468.3591</v>
      </c>
      <c r="S339" s="286">
        <v>739860.3774</v>
      </c>
      <c r="T339" s="286">
        <v>755252.39569999999</v>
      </c>
      <c r="U339" s="286">
        <v>771649.26934</v>
      </c>
      <c r="V339" s="286">
        <v>788046.14298</v>
      </c>
      <c r="W339" s="286">
        <v>804443.01662000001</v>
      </c>
      <c r="X339" s="286">
        <v>820839.89026000001</v>
      </c>
      <c r="Y339" s="286">
        <v>837236.76390000002</v>
      </c>
      <c r="Z339" s="286">
        <v>853781.55403999996</v>
      </c>
      <c r="AA339" s="286">
        <v>870326.34418000001</v>
      </c>
      <c r="AB339" s="286">
        <v>886871.13431999995</v>
      </c>
      <c r="AC339" s="286">
        <v>903415.92446000001</v>
      </c>
      <c r="AD339" s="286">
        <v>919960.71459999995</v>
      </c>
      <c r="AE339" s="286">
        <v>933285.71647999994</v>
      </c>
      <c r="AF339" s="286">
        <v>946610.71835999994</v>
      </c>
      <c r="AG339" s="286">
        <v>959935.72024000005</v>
      </c>
      <c r="AH339" s="286">
        <v>973260.72212000005</v>
      </c>
      <c r="AI339" s="286">
        <v>986585.72400000005</v>
      </c>
      <c r="AJ339" s="286">
        <v>1048540.821582476</v>
      </c>
      <c r="AK339" s="286">
        <v>1111139.713607711</v>
      </c>
      <c r="AL339" s="286">
        <v>1159392.5715722239</v>
      </c>
      <c r="AM339" s="286">
        <v>1210216.0211532509</v>
      </c>
      <c r="AN339" s="286">
        <v>1263665.5900089389</v>
      </c>
      <c r="AO339" s="286">
        <v>1314317.098891234</v>
      </c>
      <c r="AP339" s="286">
        <v>1361414.2423494749</v>
      </c>
      <c r="AQ339" s="286">
        <v>1407145.953143144</v>
      </c>
      <c r="AR339" s="286">
        <v>1453973.0694272739</v>
      </c>
      <c r="AS339" s="286">
        <v>1476814.6280710951</v>
      </c>
    </row>
    <row r="340" spans="1:45">
      <c r="A340" s="229" t="s">
        <v>352</v>
      </c>
      <c r="B340" s="410"/>
      <c r="C340" s="446"/>
      <c r="D340" s="449"/>
      <c r="E340" s="286">
        <v>528119.32559999998</v>
      </c>
      <c r="F340" s="286">
        <v>542290.39073999994</v>
      </c>
      <c r="G340" s="286">
        <v>556461.45588000002</v>
      </c>
      <c r="H340" s="286">
        <v>570632.52101999999</v>
      </c>
      <c r="I340" s="286">
        <v>584803.58616000006</v>
      </c>
      <c r="J340" s="286">
        <v>598974.65130000003</v>
      </c>
      <c r="K340" s="286">
        <v>614418.82078000007</v>
      </c>
      <c r="L340" s="286">
        <v>629862.99025999999</v>
      </c>
      <c r="M340" s="286">
        <v>645307.15974000003</v>
      </c>
      <c r="N340" s="286">
        <v>660751.32921999996</v>
      </c>
      <c r="O340" s="286">
        <v>676195.4987</v>
      </c>
      <c r="P340" s="286">
        <v>691308.88703999994</v>
      </c>
      <c r="Q340" s="286">
        <v>706422.27538000001</v>
      </c>
      <c r="R340" s="286">
        <v>721535.66371999995</v>
      </c>
      <c r="S340" s="286">
        <v>736649.05206000002</v>
      </c>
      <c r="T340" s="286">
        <v>751762.44039999996</v>
      </c>
      <c r="U340" s="286">
        <v>767715.87653999997</v>
      </c>
      <c r="V340" s="286">
        <v>783669.31267999997</v>
      </c>
      <c r="W340" s="286">
        <v>799622.74881999998</v>
      </c>
      <c r="X340" s="286">
        <v>815576.18495999998</v>
      </c>
      <c r="Y340" s="286">
        <v>831529.62109999999</v>
      </c>
      <c r="Z340" s="286">
        <v>847462.38627999998</v>
      </c>
      <c r="AA340" s="286">
        <v>863395.15145999996</v>
      </c>
      <c r="AB340" s="286">
        <v>879327.91664000007</v>
      </c>
      <c r="AC340" s="286">
        <v>895260.68182000006</v>
      </c>
      <c r="AD340" s="286">
        <v>911193.44700000004</v>
      </c>
      <c r="AE340" s="286">
        <v>924296.80448000005</v>
      </c>
      <c r="AF340" s="286">
        <v>937400.16196000006</v>
      </c>
      <c r="AG340" s="286">
        <v>950503.51943999995</v>
      </c>
      <c r="AH340" s="286">
        <v>963606.87691999995</v>
      </c>
      <c r="AI340" s="286">
        <v>976710.23439999996</v>
      </c>
      <c r="AJ340" s="286">
        <v>1036887.436748251</v>
      </c>
      <c r="AK340" s="286">
        <v>1092918.7007197291</v>
      </c>
      <c r="AL340" s="286">
        <v>1138954.2260572361</v>
      </c>
      <c r="AM340" s="286">
        <v>1189478.5138293901</v>
      </c>
      <c r="AN340" s="286">
        <v>1240434.5032135581</v>
      </c>
      <c r="AO340" s="286">
        <v>1290619.054881322</v>
      </c>
      <c r="AP340" s="286">
        <v>1335149.1633465269</v>
      </c>
      <c r="AQ340" s="286">
        <v>1380724.7165274189</v>
      </c>
      <c r="AR340" s="286">
        <v>1425574.460311872</v>
      </c>
      <c r="AS340" s="286">
        <v>1458145.591425224</v>
      </c>
    </row>
    <row r="341" spans="1:45">
      <c r="A341" s="229" t="s">
        <v>353</v>
      </c>
      <c r="B341" s="395"/>
      <c r="C341" s="447"/>
      <c r="D341" s="450"/>
      <c r="E341" s="286">
        <v>528119.32559999998</v>
      </c>
      <c r="F341" s="286">
        <v>537420.97884</v>
      </c>
      <c r="G341" s="286">
        <v>546722.63208000001</v>
      </c>
      <c r="H341" s="286">
        <v>556024.28532000002</v>
      </c>
      <c r="I341" s="286">
        <v>565325.93856000004</v>
      </c>
      <c r="J341" s="286">
        <v>574627.59180000005</v>
      </c>
      <c r="K341" s="286">
        <v>583413.09452000004</v>
      </c>
      <c r="L341" s="286">
        <v>592198.59724000003</v>
      </c>
      <c r="M341" s="286">
        <v>600984.09996000002</v>
      </c>
      <c r="N341" s="286">
        <v>609769.60268000001</v>
      </c>
      <c r="O341" s="286">
        <v>618555.1054</v>
      </c>
      <c r="P341" s="286">
        <v>626901.81521999999</v>
      </c>
      <c r="Q341" s="286">
        <v>635248.52503999998</v>
      </c>
      <c r="R341" s="286">
        <v>643595.23485999997</v>
      </c>
      <c r="S341" s="286">
        <v>651941.94467999996</v>
      </c>
      <c r="T341" s="286">
        <v>660288.65449999995</v>
      </c>
      <c r="U341" s="286">
        <v>667271.62637999991</v>
      </c>
      <c r="V341" s="286">
        <v>674254.59826</v>
      </c>
      <c r="W341" s="286">
        <v>681237.57013999997</v>
      </c>
      <c r="X341" s="286">
        <v>688220.54202000005</v>
      </c>
      <c r="Y341" s="286">
        <v>695203.51390000002</v>
      </c>
      <c r="Z341" s="286">
        <v>701135.92246000003</v>
      </c>
      <c r="AA341" s="286">
        <v>707068.33102000004</v>
      </c>
      <c r="AB341" s="286">
        <v>713000.73957999994</v>
      </c>
      <c r="AC341" s="286">
        <v>718933.14813999995</v>
      </c>
      <c r="AD341" s="286">
        <v>724865.55669999996</v>
      </c>
      <c r="AE341" s="286">
        <v>729382.64913999999</v>
      </c>
      <c r="AF341" s="286">
        <v>733899.74158000003</v>
      </c>
      <c r="AG341" s="286">
        <v>738416.83401999995</v>
      </c>
      <c r="AH341" s="286">
        <v>742933.92645999999</v>
      </c>
      <c r="AI341" s="286">
        <v>747451.01890000002</v>
      </c>
      <c r="AJ341" s="286">
        <v>768946.98032532388</v>
      </c>
      <c r="AK341" s="286">
        <v>781559.28754972201</v>
      </c>
      <c r="AL341" s="286">
        <v>787226.60368238634</v>
      </c>
      <c r="AM341" s="286">
        <v>794584.34828462859</v>
      </c>
      <c r="AN341" s="286">
        <v>797194.71746472456</v>
      </c>
      <c r="AO341" s="286">
        <v>799255.72878988658</v>
      </c>
      <c r="AP341" s="286">
        <v>797788.22885394306</v>
      </c>
      <c r="AQ341" s="286">
        <v>794343.44975011318</v>
      </c>
      <c r="AR341" s="286">
        <v>787392.86598599784</v>
      </c>
      <c r="AS341" s="286">
        <v>784466.93321227457</v>
      </c>
    </row>
    <row r="343" spans="1:45" ht="14.4" thickBot="1"/>
    <row r="344" spans="1:45">
      <c r="A344" s="16" t="s">
        <v>20</v>
      </c>
      <c r="B344" s="288" t="s">
        <v>47</v>
      </c>
    </row>
    <row r="345" spans="1:45" ht="27.6">
      <c r="A345" s="123" t="s">
        <v>354</v>
      </c>
      <c r="B345" s="147" t="s">
        <v>355</v>
      </c>
    </row>
    <row r="346" spans="1:45" ht="27.6">
      <c r="A346" s="123" t="s">
        <v>356</v>
      </c>
      <c r="B346" s="147" t="s">
        <v>357</v>
      </c>
    </row>
    <row r="347" spans="1:45" ht="27.6">
      <c r="A347" s="123" t="s">
        <v>358</v>
      </c>
      <c r="B347" s="147" t="s">
        <v>359</v>
      </c>
    </row>
    <row r="348" spans="1:45" ht="96.6">
      <c r="A348" s="123" t="s">
        <v>348</v>
      </c>
      <c r="B348" s="147" t="s">
        <v>360</v>
      </c>
    </row>
  </sheetData>
  <mergeCells count="8">
    <mergeCell ref="C337:C341"/>
    <mergeCell ref="D337:D341"/>
    <mergeCell ref="A4:A104"/>
    <mergeCell ref="A109:A209"/>
    <mergeCell ref="A214:A314"/>
    <mergeCell ref="A319:A320"/>
    <mergeCell ref="A331:A332"/>
    <mergeCell ref="B337:B341"/>
  </mergeCells>
  <hyperlinks>
    <hyperlink ref="B348" r:id="rId1" xr:uid="{7BC50C6D-57E2-4868-BA51-837C6D224290}"/>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550A-7DF7-4149-B049-6C996FABBF81}">
  <dimension ref="B4:N32"/>
  <sheetViews>
    <sheetView topLeftCell="A10" workbookViewId="0">
      <selection activeCell="E38" sqref="E38"/>
    </sheetView>
  </sheetViews>
  <sheetFormatPr baseColWidth="10" defaultRowHeight="13.8"/>
  <cols>
    <col min="1" max="1" width="11.5546875" style="3"/>
    <col min="2" max="2" width="15.6640625" style="3" bestFit="1" customWidth="1"/>
    <col min="3" max="3" width="15.44140625" style="3" bestFit="1" customWidth="1"/>
    <col min="4" max="4" width="22.5546875" style="3" customWidth="1"/>
    <col min="5" max="5" width="20.5546875" style="3" customWidth="1"/>
    <col min="6" max="6" width="16.33203125" style="3" customWidth="1"/>
    <col min="7" max="7" width="20.5546875" style="3" bestFit="1" customWidth="1"/>
    <col min="8" max="8" width="22.33203125" style="3" bestFit="1" customWidth="1"/>
    <col min="9" max="9" width="17.21875" style="3" bestFit="1" customWidth="1"/>
    <col min="10" max="10" width="18" style="3" bestFit="1" customWidth="1"/>
    <col min="11" max="11" width="15.44140625" style="3" bestFit="1" customWidth="1"/>
    <col min="12" max="12" width="13.5546875" style="3" bestFit="1" customWidth="1"/>
    <col min="13" max="13" width="20" style="3" bestFit="1" customWidth="1"/>
    <col min="14" max="14" width="16.21875" style="3" bestFit="1" customWidth="1"/>
    <col min="15" max="16384" width="11.5546875" style="3"/>
  </cols>
  <sheetData>
    <row r="4" spans="2:14">
      <c r="B4" s="173" t="s">
        <v>464</v>
      </c>
      <c r="C4" s="174" t="s">
        <v>465</v>
      </c>
      <c r="D4" s="174"/>
      <c r="E4" s="173"/>
      <c r="F4" s="173"/>
      <c r="G4" s="175"/>
      <c r="H4" s="175"/>
      <c r="I4" s="175"/>
      <c r="J4" s="175"/>
      <c r="K4" s="175"/>
      <c r="L4" s="175"/>
      <c r="M4" s="175"/>
      <c r="N4" s="175"/>
    </row>
    <row r="5" spans="2:14">
      <c r="B5" s="175"/>
      <c r="C5" s="175"/>
      <c r="D5" s="175"/>
      <c r="E5" s="175"/>
      <c r="F5" s="175"/>
      <c r="G5" s="175"/>
      <c r="H5" s="175"/>
      <c r="I5" s="175"/>
      <c r="J5" s="175"/>
      <c r="K5" s="175"/>
      <c r="L5" s="176"/>
      <c r="M5" s="175"/>
      <c r="N5" s="175"/>
    </row>
    <row r="6" spans="2:14">
      <c r="B6" s="177"/>
      <c r="C6" s="178" t="s">
        <v>2</v>
      </c>
      <c r="D6" s="178" t="s">
        <v>3</v>
      </c>
      <c r="E6" s="178" t="s">
        <v>4</v>
      </c>
      <c r="F6" s="178" t="s">
        <v>5</v>
      </c>
    </row>
    <row r="7" spans="2:14">
      <c r="B7" s="179" t="s">
        <v>466</v>
      </c>
      <c r="C7" s="289">
        <v>103009.24699999999</v>
      </c>
      <c r="D7" s="181">
        <f>C7/$C$11</f>
        <v>0.79834182238101503</v>
      </c>
      <c r="E7" s="182">
        <v>5256807.6195107391</v>
      </c>
      <c r="F7" s="181">
        <f>E7/$E$11</f>
        <v>0.85438191487106707</v>
      </c>
    </row>
    <row r="8" spans="2:14">
      <c r="B8" s="183" t="s">
        <v>467</v>
      </c>
      <c r="C8" s="290">
        <v>19933.936000000002</v>
      </c>
      <c r="D8" s="185">
        <f>C8/$C$11</f>
        <v>0.15449190492059925</v>
      </c>
      <c r="E8" s="186">
        <v>622319.68169999996</v>
      </c>
      <c r="F8" s="185">
        <f>E8/$E$11</f>
        <v>0.10114478592280786</v>
      </c>
    </row>
    <row r="9" spans="2:14">
      <c r="B9" s="179" t="s">
        <v>468</v>
      </c>
      <c r="C9" s="289">
        <v>5833.6279999999997</v>
      </c>
      <c r="D9" s="181">
        <f>C9/$C$11</f>
        <v>4.5211758596904572E-2</v>
      </c>
      <c r="E9" s="182">
        <v>272600.84759999998</v>
      </c>
      <c r="F9" s="181">
        <f>E9/$E$11</f>
        <v>4.4305451335812977E-2</v>
      </c>
    </row>
    <row r="10" spans="2:14">
      <c r="B10" s="183" t="s">
        <v>469</v>
      </c>
      <c r="C10" s="290">
        <v>252.18899999999999</v>
      </c>
      <c r="D10" s="185">
        <f>C10/$C$11</f>
        <v>1.9545141014810623E-3</v>
      </c>
      <c r="E10" s="186">
        <v>1032.7278096805835</v>
      </c>
      <c r="F10" s="185">
        <f>E10/$E$11</f>
        <v>1.6784787031213846E-4</v>
      </c>
    </row>
    <row r="11" spans="2:14">
      <c r="B11" s="187" t="s">
        <v>7</v>
      </c>
      <c r="C11" s="291">
        <v>129029</v>
      </c>
      <c r="D11" s="292">
        <f>SUM(D7:D10)</f>
        <v>0.99999999999999989</v>
      </c>
      <c r="E11" s="293">
        <f>SUM(E7:E10)</f>
        <v>6152760.8766204193</v>
      </c>
      <c r="F11" s="292">
        <f>SUM(F7:F10)</f>
        <v>1</v>
      </c>
    </row>
    <row r="12" spans="2:14">
      <c r="B12" s="190"/>
      <c r="C12" s="190"/>
    </row>
    <row r="13" spans="2:14">
      <c r="C13" s="191" t="s">
        <v>8</v>
      </c>
      <c r="D13" s="191" t="s">
        <v>9</v>
      </c>
      <c r="E13" s="191" t="s">
        <v>4</v>
      </c>
      <c r="F13" s="178" t="s">
        <v>10</v>
      </c>
      <c r="G13" s="191" t="s">
        <v>11</v>
      </c>
      <c r="H13" s="178" t="s">
        <v>12</v>
      </c>
      <c r="I13" s="191" t="s">
        <v>13</v>
      </c>
      <c r="J13" s="191" t="s">
        <v>14</v>
      </c>
    </row>
    <row r="14" spans="2:14">
      <c r="B14" s="411" t="s">
        <v>466</v>
      </c>
      <c r="C14" s="192" t="s">
        <v>16</v>
      </c>
      <c r="D14" s="193">
        <v>882.64991940000004</v>
      </c>
      <c r="E14" s="194">
        <v>1542742.382</v>
      </c>
      <c r="F14" s="195">
        <f>E14/$E$7</f>
        <v>0.29347514568995886</v>
      </c>
      <c r="G14" s="194">
        <v>21780.258549999999</v>
      </c>
      <c r="H14" s="195">
        <f>G14/E14</f>
        <v>1.4117884362367895E-2</v>
      </c>
      <c r="I14" s="193">
        <v>1.122593E-2</v>
      </c>
      <c r="J14" s="414">
        <v>0.22866366986469178</v>
      </c>
    </row>
    <row r="15" spans="2:14">
      <c r="B15" s="412"/>
      <c r="C15" s="196" t="s">
        <v>17</v>
      </c>
      <c r="D15" s="197">
        <v>757.01114270000005</v>
      </c>
      <c r="E15" s="198">
        <v>2190375.7459999998</v>
      </c>
      <c r="F15" s="195">
        <f t="shared" ref="F15:F16" si="0">E15/$E$7</f>
        <v>0.41667413086801569</v>
      </c>
      <c r="G15" s="198">
        <v>22243.916499999999</v>
      </c>
      <c r="H15" s="195">
        <f t="shared" ref="H15:H16" si="1">G15/E15</f>
        <v>1.0155297117684575E-2</v>
      </c>
      <c r="I15" s="197">
        <v>4.0217464000000001E-2</v>
      </c>
      <c r="J15" s="415"/>
    </row>
    <row r="16" spans="2:14">
      <c r="B16" s="413"/>
      <c r="C16" s="199" t="s">
        <v>18</v>
      </c>
      <c r="D16" s="200">
        <v>330.73454240000001</v>
      </c>
      <c r="E16" s="201">
        <v>1523689.4920000001</v>
      </c>
      <c r="F16" s="202">
        <f t="shared" si="0"/>
        <v>0.28985072353509728</v>
      </c>
      <c r="G16" s="201">
        <v>1158016.747</v>
      </c>
      <c r="H16" s="202">
        <f t="shared" si="1"/>
        <v>0.76000835674201783</v>
      </c>
      <c r="I16" s="200">
        <v>1.6781646539999999</v>
      </c>
      <c r="J16" s="416"/>
    </row>
    <row r="17" spans="2:10">
      <c r="B17" s="417" t="s">
        <v>467</v>
      </c>
      <c r="C17" s="203" t="s">
        <v>16</v>
      </c>
      <c r="D17" s="204">
        <v>31.55334599</v>
      </c>
      <c r="E17" s="205">
        <v>68488.291389999999</v>
      </c>
      <c r="F17" s="206">
        <f>E17/$E$8</f>
        <v>0.11005323052439786</v>
      </c>
      <c r="G17" s="204">
        <v>16434.458210000001</v>
      </c>
      <c r="H17" s="206">
        <f>G17/E17</f>
        <v>0.2399601140057</v>
      </c>
      <c r="I17" s="204">
        <v>0.22851946400000001</v>
      </c>
      <c r="J17" s="420">
        <v>0.71122869921277643</v>
      </c>
    </row>
    <row r="18" spans="2:10">
      <c r="B18" s="418"/>
      <c r="C18" s="207" t="s">
        <v>17</v>
      </c>
      <c r="D18" s="204">
        <v>78.784439320000004</v>
      </c>
      <c r="E18" s="205">
        <v>326823.18839999998</v>
      </c>
      <c r="F18" s="206">
        <f t="shared" ref="F18:F19" si="2">E18/$E$8</f>
        <v>0.52516929483446873</v>
      </c>
      <c r="G18" s="204">
        <v>200916.45430000001</v>
      </c>
      <c r="H18" s="206">
        <f>G18/E18</f>
        <v>0.614755811188335</v>
      </c>
      <c r="I18" s="204">
        <v>1.3359376439999999</v>
      </c>
      <c r="J18" s="421"/>
    </row>
    <row r="19" spans="2:10">
      <c r="B19" s="419"/>
      <c r="C19" s="208" t="s">
        <v>18</v>
      </c>
      <c r="D19" s="204">
        <v>54.216990279999997</v>
      </c>
      <c r="E19" s="205">
        <v>227008.20189999999</v>
      </c>
      <c r="F19" s="209">
        <f t="shared" si="2"/>
        <v>0.36477747462506455</v>
      </c>
      <c r="G19" s="204">
        <v>225260.7052</v>
      </c>
      <c r="H19" s="209">
        <f>G19/E19</f>
        <v>0.99230205479196831</v>
      </c>
      <c r="I19" s="204">
        <v>8.0590975280000006</v>
      </c>
      <c r="J19" s="422"/>
    </row>
    <row r="20" spans="2:10">
      <c r="B20" s="411" t="s">
        <v>468</v>
      </c>
      <c r="C20" s="192" t="s">
        <v>16</v>
      </c>
      <c r="D20" s="193">
        <v>109.49</v>
      </c>
      <c r="E20" s="194">
        <v>161860.3481</v>
      </c>
      <c r="F20" s="195">
        <f>E20/$E$9</f>
        <v>0.59376318718386856</v>
      </c>
      <c r="G20" s="193">
        <v>1933.55</v>
      </c>
      <c r="H20" s="195">
        <f>G20/E20</f>
        <v>1.1945791682132185E-2</v>
      </c>
      <c r="I20" s="193">
        <v>5.0150330000000003E-3</v>
      </c>
      <c r="J20" s="414">
        <v>1.2596439190235301E-2</v>
      </c>
    </row>
    <row r="21" spans="2:10">
      <c r="B21" s="412"/>
      <c r="C21" s="196" t="s">
        <v>17</v>
      </c>
      <c r="D21" s="197">
        <v>40.07</v>
      </c>
      <c r="E21" s="198">
        <v>110740.49950000001</v>
      </c>
      <c r="F21" s="195">
        <f>E21/$E$9</f>
        <v>0.40623681281613161</v>
      </c>
      <c r="G21" s="197">
        <v>1500.25</v>
      </c>
      <c r="H21" s="195">
        <f t="shared" ref="H21" si="3">G21/E21</f>
        <v>1.3547437538874383E-2</v>
      </c>
      <c r="I21" s="197">
        <v>0.21674418600000001</v>
      </c>
      <c r="J21" s="415"/>
    </row>
    <row r="22" spans="2:10">
      <c r="B22" s="413"/>
      <c r="C22" s="199" t="s">
        <v>18</v>
      </c>
      <c r="D22" s="200">
        <v>0</v>
      </c>
      <c r="E22" s="201">
        <v>0</v>
      </c>
      <c r="F22" s="202">
        <f>E22/$E$9</f>
        <v>0</v>
      </c>
      <c r="G22" s="200">
        <v>0</v>
      </c>
      <c r="H22" s="202">
        <v>0</v>
      </c>
      <c r="I22" s="200">
        <v>0</v>
      </c>
      <c r="J22" s="416"/>
    </row>
    <row r="23" spans="2:10">
      <c r="B23" s="417" t="s">
        <v>469</v>
      </c>
      <c r="C23" s="203" t="s">
        <v>16</v>
      </c>
      <c r="D23" s="204">
        <v>0.30296925438715605</v>
      </c>
      <c r="E23" s="205">
        <v>1032.7278096805835</v>
      </c>
      <c r="F23" s="206">
        <f>E23/E10</f>
        <v>1</v>
      </c>
      <c r="G23" s="205">
        <v>0</v>
      </c>
      <c r="H23" s="206">
        <v>0</v>
      </c>
      <c r="I23" s="205">
        <v>0</v>
      </c>
      <c r="J23" s="420">
        <v>0</v>
      </c>
    </row>
    <row r="24" spans="2:10">
      <c r="B24" s="418"/>
      <c r="C24" s="207" t="s">
        <v>17</v>
      </c>
      <c r="D24" s="204">
        <v>0</v>
      </c>
      <c r="E24" s="205">
        <v>0</v>
      </c>
      <c r="F24" s="206">
        <v>0</v>
      </c>
      <c r="G24" s="205">
        <v>0</v>
      </c>
      <c r="H24" s="206">
        <v>0</v>
      </c>
      <c r="I24" s="205">
        <v>0</v>
      </c>
      <c r="J24" s="421"/>
    </row>
    <row r="25" spans="2:10">
      <c r="B25" s="419"/>
      <c r="C25" s="208" t="s">
        <v>18</v>
      </c>
      <c r="D25" s="204">
        <v>0</v>
      </c>
      <c r="E25" s="205">
        <v>0</v>
      </c>
      <c r="F25" s="209">
        <v>0</v>
      </c>
      <c r="G25" s="205">
        <v>0</v>
      </c>
      <c r="H25" s="206">
        <v>0</v>
      </c>
      <c r="I25" s="205">
        <v>0</v>
      </c>
      <c r="J25" s="422"/>
    </row>
    <row r="26" spans="2:10">
      <c r="B26" s="423" t="s">
        <v>7</v>
      </c>
      <c r="C26" s="210" t="s">
        <v>16</v>
      </c>
      <c r="D26" s="211">
        <v>1023.9962346443872</v>
      </c>
      <c r="E26" s="211">
        <v>1774123.7492996806</v>
      </c>
      <c r="F26" s="213">
        <v>0.2883459612482403</v>
      </c>
      <c r="G26" s="211">
        <v>40148.266759999999</v>
      </c>
      <c r="H26" s="211"/>
      <c r="I26" s="211">
        <v>0.244760427</v>
      </c>
      <c r="J26" s="426">
        <v>0.26786126956802175</v>
      </c>
    </row>
    <row r="27" spans="2:10">
      <c r="B27" s="424"/>
      <c r="C27" s="215" t="s">
        <v>17</v>
      </c>
      <c r="D27" s="217">
        <v>875.86558202000015</v>
      </c>
      <c r="E27" s="217">
        <v>2627939.4338999996</v>
      </c>
      <c r="F27" s="213">
        <v>0.42711548304855801</v>
      </c>
      <c r="G27" s="217">
        <v>224660.6208</v>
      </c>
      <c r="H27" s="217"/>
      <c r="I27" s="217">
        <v>1.592899294</v>
      </c>
      <c r="J27" s="427"/>
    </row>
    <row r="28" spans="2:10">
      <c r="B28" s="425"/>
      <c r="C28" s="218" t="s">
        <v>18</v>
      </c>
      <c r="D28" s="220">
        <v>384.95153268000001</v>
      </c>
      <c r="E28" s="220">
        <v>1750697.6939000001</v>
      </c>
      <c r="F28" s="221">
        <v>0.28453855578109533</v>
      </c>
      <c r="G28" s="220">
        <v>1383277.4521999999</v>
      </c>
      <c r="H28" s="220"/>
      <c r="I28" s="220">
        <v>9.7372621820000003</v>
      </c>
      <c r="J28" s="428"/>
    </row>
    <row r="29" spans="2:10">
      <c r="E29" s="190"/>
    </row>
    <row r="30" spans="2:10">
      <c r="B30" s="222" t="s">
        <v>7</v>
      </c>
      <c r="C30" s="222"/>
      <c r="D30" s="223">
        <v>2284.8133493443875</v>
      </c>
      <c r="E30" s="223">
        <v>6152760.8770996798</v>
      </c>
      <c r="F30" s="225"/>
      <c r="G30" s="223">
        <v>1648086.3397600001</v>
      </c>
      <c r="H30" s="225"/>
      <c r="I30" s="223"/>
      <c r="J30" s="222"/>
    </row>
    <row r="31" spans="2:10">
      <c r="E31" s="190"/>
    </row>
    <row r="32" spans="2:10">
      <c r="E32" s="190"/>
    </row>
  </sheetData>
  <mergeCells count="10">
    <mergeCell ref="B23:B25"/>
    <mergeCell ref="J23:J25"/>
    <mergeCell ref="B26:B28"/>
    <mergeCell ref="J26:J28"/>
    <mergeCell ref="B14:B16"/>
    <mergeCell ref="J14:J16"/>
    <mergeCell ref="B17:B19"/>
    <mergeCell ref="J17:J19"/>
    <mergeCell ref="B20:B22"/>
    <mergeCell ref="J20:J2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CD04-FB45-4C59-8244-409633B31A97}">
  <dimension ref="A1"/>
  <sheetViews>
    <sheetView workbookViewId="0"/>
  </sheetViews>
  <sheetFormatPr baseColWidth="10"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8640-6809-4610-A138-293B928D6596}">
  <dimension ref="A2:Q52"/>
  <sheetViews>
    <sheetView zoomScale="85" zoomScaleNormal="85" workbookViewId="0">
      <selection activeCell="D52" sqref="D52"/>
    </sheetView>
  </sheetViews>
  <sheetFormatPr baseColWidth="10" defaultRowHeight="13.8"/>
  <cols>
    <col min="1" max="1" width="79.44140625" style="3" bestFit="1" customWidth="1"/>
    <col min="2" max="2" width="35.77734375" style="2" customWidth="1"/>
    <col min="3" max="3" width="19.21875" style="3" customWidth="1"/>
    <col min="4" max="4" width="11.5546875" style="3"/>
    <col min="5" max="5" width="14.44140625" style="3" bestFit="1" customWidth="1"/>
    <col min="6" max="6" width="14.109375" style="3" bestFit="1" customWidth="1"/>
    <col min="7" max="7" width="12.109375" style="3" bestFit="1" customWidth="1"/>
    <col min="8" max="9" width="11.77734375" style="3" bestFit="1" customWidth="1"/>
    <col min="10" max="10" width="22.5546875" style="3" bestFit="1" customWidth="1"/>
    <col min="11" max="11" width="14.109375" style="3" bestFit="1" customWidth="1"/>
    <col min="12" max="13" width="11.77734375" style="3" bestFit="1" customWidth="1"/>
    <col min="14" max="16384" width="11.5546875" style="3"/>
  </cols>
  <sheetData>
    <row r="2" spans="1:5" ht="14.4" thickBot="1">
      <c r="A2" s="1" t="s">
        <v>19</v>
      </c>
    </row>
    <row r="3" spans="1:5">
      <c r="B3" s="4" t="s">
        <v>20</v>
      </c>
      <c r="C3" s="4" t="s">
        <v>21</v>
      </c>
      <c r="D3" s="4" t="s">
        <v>22</v>
      </c>
      <c r="E3" s="4" t="s">
        <v>23</v>
      </c>
    </row>
    <row r="4" spans="1:5" ht="14.4" customHeight="1">
      <c r="A4" s="5" t="s">
        <v>530</v>
      </c>
      <c r="B4" s="146" t="s">
        <v>531</v>
      </c>
      <c r="C4" s="341" t="s">
        <v>532</v>
      </c>
      <c r="D4" s="7" t="s">
        <v>25</v>
      </c>
      <c r="E4" s="34">
        <v>1450</v>
      </c>
    </row>
    <row r="5" spans="1:5" ht="13.8" customHeight="1">
      <c r="A5" s="5" t="s">
        <v>533</v>
      </c>
      <c r="B5" s="353" t="s">
        <v>534</v>
      </c>
      <c r="C5" s="339"/>
      <c r="D5" s="7" t="s">
        <v>25</v>
      </c>
      <c r="E5" s="34">
        <v>17498</v>
      </c>
    </row>
    <row r="6" spans="1:5">
      <c r="A6" s="5" t="s">
        <v>535</v>
      </c>
      <c r="B6" s="355"/>
      <c r="C6" s="339"/>
      <c r="D6" s="7" t="s">
        <v>25</v>
      </c>
      <c r="E6" s="34">
        <v>34291</v>
      </c>
    </row>
    <row r="7" spans="1:5">
      <c r="A7" s="5" t="s">
        <v>536</v>
      </c>
      <c r="B7" s="146" t="s">
        <v>531</v>
      </c>
      <c r="C7" s="339"/>
      <c r="D7" s="7" t="s">
        <v>25</v>
      </c>
      <c r="E7" s="34">
        <v>1750</v>
      </c>
    </row>
    <row r="8" spans="1:5">
      <c r="A8" s="5" t="s">
        <v>537</v>
      </c>
      <c r="B8" s="146" t="s">
        <v>531</v>
      </c>
      <c r="C8" s="339"/>
      <c r="D8" s="7" t="s">
        <v>25</v>
      </c>
      <c r="E8" s="34">
        <v>5250</v>
      </c>
    </row>
    <row r="9" spans="1:5">
      <c r="A9" s="5" t="s">
        <v>55</v>
      </c>
      <c r="B9" s="146" t="s">
        <v>538</v>
      </c>
      <c r="C9" s="340"/>
      <c r="D9" s="7" t="s">
        <v>25</v>
      </c>
      <c r="E9" s="34">
        <v>25000</v>
      </c>
    </row>
    <row r="12" spans="1:5" ht="14.4" thickBot="1">
      <c r="A12" s="1" t="s">
        <v>26</v>
      </c>
    </row>
    <row r="13" spans="1:5">
      <c r="B13" s="4" t="s">
        <v>20</v>
      </c>
      <c r="C13" s="4" t="s">
        <v>21</v>
      </c>
      <c r="D13" s="4" t="s">
        <v>22</v>
      </c>
      <c r="E13" s="4" t="s">
        <v>23</v>
      </c>
    </row>
    <row r="14" spans="1:5">
      <c r="A14" s="5" t="s">
        <v>29</v>
      </c>
      <c r="B14" s="342" t="s">
        <v>27</v>
      </c>
      <c r="C14" s="345" t="s">
        <v>420</v>
      </c>
      <c r="D14" s="7" t="s">
        <v>28</v>
      </c>
      <c r="E14" s="9">
        <v>5.7670000000000006E-2</v>
      </c>
    </row>
    <row r="15" spans="1:5">
      <c r="A15" s="5" t="s">
        <v>421</v>
      </c>
      <c r="B15" s="342"/>
      <c r="C15" s="345"/>
      <c r="D15" s="7" t="s">
        <v>28</v>
      </c>
      <c r="E15" s="9">
        <v>31.03</v>
      </c>
    </row>
    <row r="16" spans="1:5">
      <c r="A16" s="5" t="s">
        <v>422</v>
      </c>
      <c r="B16" s="342"/>
      <c r="C16" s="345"/>
      <c r="D16" s="7" t="s">
        <v>28</v>
      </c>
      <c r="E16" s="9">
        <v>0.18</v>
      </c>
    </row>
    <row r="17" spans="1:17">
      <c r="A17" s="5" t="s">
        <v>423</v>
      </c>
      <c r="B17" s="342"/>
      <c r="C17" s="345"/>
      <c r="D17" s="7" t="s">
        <v>28</v>
      </c>
      <c r="E17" s="9">
        <v>2.19</v>
      </c>
    </row>
    <row r="18" spans="1:17">
      <c r="A18" s="5" t="s">
        <v>424</v>
      </c>
      <c r="B18" s="342"/>
      <c r="C18" s="345"/>
      <c r="D18" s="7" t="s">
        <v>28</v>
      </c>
      <c r="E18" s="9">
        <v>12.78</v>
      </c>
    </row>
    <row r="19" spans="1:17">
      <c r="A19" s="5" t="s">
        <v>425</v>
      </c>
      <c r="B19" s="342"/>
      <c r="C19" s="345"/>
      <c r="D19" s="7" t="s">
        <v>28</v>
      </c>
      <c r="E19" s="9">
        <v>4.38</v>
      </c>
    </row>
    <row r="20" spans="1:17">
      <c r="A20" s="5" t="s">
        <v>426</v>
      </c>
      <c r="B20" s="342"/>
      <c r="C20" s="345"/>
      <c r="D20" s="7" t="s">
        <v>28</v>
      </c>
      <c r="E20" s="9">
        <v>3.01125</v>
      </c>
    </row>
    <row r="23" spans="1:17" ht="14.4" thickBot="1">
      <c r="A23" s="1" t="s">
        <v>30</v>
      </c>
    </row>
    <row r="24" spans="1:17">
      <c r="B24" s="4" t="s">
        <v>20</v>
      </c>
      <c r="C24" s="4" t="s">
        <v>21</v>
      </c>
      <c r="D24" s="4" t="s">
        <v>22</v>
      </c>
      <c r="E24" s="4">
        <v>2010</v>
      </c>
      <c r="F24" s="4">
        <v>2011</v>
      </c>
      <c r="G24" s="4">
        <v>2012</v>
      </c>
      <c r="H24" s="4">
        <v>2013</v>
      </c>
      <c r="I24" s="4">
        <v>2014</v>
      </c>
      <c r="J24" s="4">
        <v>2015</v>
      </c>
      <c r="K24" s="4">
        <v>2016</v>
      </c>
      <c r="L24" s="4">
        <v>2017</v>
      </c>
      <c r="M24" s="4">
        <v>2018</v>
      </c>
      <c r="N24" s="4">
        <v>2019</v>
      </c>
      <c r="O24" s="4">
        <v>2020</v>
      </c>
      <c r="P24" s="4">
        <v>2021</v>
      </c>
      <c r="Q24" s="4">
        <v>2022</v>
      </c>
    </row>
    <row r="25" spans="1:17">
      <c r="A25" s="5" t="s">
        <v>31</v>
      </c>
      <c r="B25" s="352" t="s">
        <v>32</v>
      </c>
      <c r="C25" s="344" t="s">
        <v>427</v>
      </c>
      <c r="D25" s="7" t="s">
        <v>33</v>
      </c>
      <c r="E25" s="10">
        <v>8.8318623581461004</v>
      </c>
      <c r="F25" s="10">
        <v>8.4206323472697999</v>
      </c>
      <c r="G25" s="10">
        <v>8.0413153358060008</v>
      </c>
      <c r="H25" s="10">
        <v>7.6760559172437999</v>
      </c>
      <c r="I25" s="10">
        <v>7.3049937410468999</v>
      </c>
      <c r="J25" s="10">
        <v>7.0845129665613999</v>
      </c>
      <c r="K25" s="10">
        <v>6.8690505088938005</v>
      </c>
      <c r="L25" s="10">
        <v>6.660722831231201</v>
      </c>
      <c r="M25" s="10">
        <v>6.4642819438750001</v>
      </c>
      <c r="N25" s="10">
        <v>6.2805307145285996</v>
      </c>
      <c r="O25" s="10">
        <v>6.1037824148450994</v>
      </c>
      <c r="P25" s="10">
        <v>5.9313514719208005</v>
      </c>
      <c r="Q25" s="10">
        <v>5.7659066544817996</v>
      </c>
    </row>
    <row r="26" spans="1:17">
      <c r="A26" s="5" t="s">
        <v>34</v>
      </c>
      <c r="B26" s="352"/>
      <c r="C26" s="344"/>
      <c r="D26" s="7" t="s">
        <v>33</v>
      </c>
      <c r="E26" s="10">
        <v>286.11730671860431</v>
      </c>
      <c r="F26" s="10">
        <v>276.8961328029215</v>
      </c>
      <c r="G26" s="10">
        <v>268.78969836661503</v>
      </c>
      <c r="H26" s="10">
        <v>260.91775898532842</v>
      </c>
      <c r="I26" s="10">
        <v>252.66280123583431</v>
      </c>
      <c r="J26" s="10">
        <v>244.8939327079305</v>
      </c>
      <c r="K26" s="10">
        <v>237.27618553852221</v>
      </c>
      <c r="L26" s="10">
        <v>229.85273921838842</v>
      </c>
      <c r="M26" s="10">
        <v>222.80582538999033</v>
      </c>
      <c r="N26" s="10">
        <v>216.20670029696743</v>
      </c>
      <c r="O26" s="10">
        <v>209.80962927233318</v>
      </c>
      <c r="P26" s="10">
        <v>203.52036189958042</v>
      </c>
      <c r="Q26" s="10">
        <v>197.51706136411562</v>
      </c>
    </row>
    <row r="29" spans="1:17" ht="14.4" thickBot="1">
      <c r="A29" s="1" t="s">
        <v>35</v>
      </c>
    </row>
    <row r="30" spans="1:17">
      <c r="B30" s="4" t="s">
        <v>20</v>
      </c>
      <c r="C30" s="4" t="s">
        <v>21</v>
      </c>
      <c r="D30" s="4" t="s">
        <v>22</v>
      </c>
      <c r="E30" s="4" t="s">
        <v>23</v>
      </c>
    </row>
    <row r="31" spans="1:17">
      <c r="A31" s="5" t="s">
        <v>539</v>
      </c>
      <c r="B31" s="145" t="s">
        <v>36</v>
      </c>
      <c r="C31" s="11" t="s">
        <v>37</v>
      </c>
      <c r="D31" s="7" t="s">
        <v>38</v>
      </c>
      <c r="E31" s="24">
        <v>6533943840</v>
      </c>
      <c r="F31" s="13"/>
    </row>
    <row r="32" spans="1:17">
      <c r="A32" s="5" t="s">
        <v>39</v>
      </c>
      <c r="B32" s="145" t="s">
        <v>40</v>
      </c>
      <c r="C32" s="147" t="s">
        <v>41</v>
      </c>
      <c r="D32" s="7" t="s">
        <v>38</v>
      </c>
      <c r="E32" s="24">
        <v>28700000</v>
      </c>
      <c r="I32" s="13"/>
    </row>
    <row r="33" spans="1:5">
      <c r="A33" s="5" t="s">
        <v>429</v>
      </c>
      <c r="B33" s="145" t="s">
        <v>42</v>
      </c>
      <c r="C33" s="11" t="s">
        <v>430</v>
      </c>
      <c r="D33" s="7" t="s">
        <v>38</v>
      </c>
      <c r="E33" s="24">
        <v>27740000.000000015</v>
      </c>
    </row>
    <row r="34" spans="1:5">
      <c r="A34" s="5" t="s">
        <v>43</v>
      </c>
      <c r="B34" s="145" t="s">
        <v>44</v>
      </c>
      <c r="C34" s="11" t="s">
        <v>45</v>
      </c>
      <c r="D34" s="7" t="s">
        <v>38</v>
      </c>
      <c r="E34" s="24">
        <v>17791704810.454498</v>
      </c>
    </row>
    <row r="35" spans="1:5">
      <c r="A35" s="5" t="s">
        <v>46</v>
      </c>
      <c r="B35" s="14"/>
      <c r="C35" s="15"/>
      <c r="D35" s="7" t="s">
        <v>38</v>
      </c>
      <c r="E35" s="24">
        <v>24382088650.454498</v>
      </c>
    </row>
    <row r="37" spans="1:5" ht="14.4" thickBot="1">
      <c r="A37" s="1" t="s">
        <v>431</v>
      </c>
    </row>
    <row r="38" spans="1:5">
      <c r="B38" s="4" t="s">
        <v>20</v>
      </c>
      <c r="C38" s="4" t="s">
        <v>21</v>
      </c>
      <c r="D38" s="4" t="s">
        <v>22</v>
      </c>
      <c r="E38" s="4" t="s">
        <v>23</v>
      </c>
    </row>
    <row r="39" spans="1:5">
      <c r="A39" s="5" t="s">
        <v>432</v>
      </c>
      <c r="B39" s="353" t="s">
        <v>433</v>
      </c>
      <c r="C39" s="11" t="s">
        <v>434</v>
      </c>
      <c r="D39" s="7" t="s">
        <v>38</v>
      </c>
      <c r="E39" s="24">
        <v>1960183152</v>
      </c>
    </row>
    <row r="40" spans="1:5">
      <c r="A40" s="5" t="s">
        <v>435</v>
      </c>
      <c r="B40" s="355"/>
      <c r="C40" s="11" t="s">
        <v>436</v>
      </c>
      <c r="D40" s="7" t="s">
        <v>38</v>
      </c>
      <c r="E40" s="24">
        <v>2613577536</v>
      </c>
    </row>
    <row r="41" spans="1:5" ht="14.4" thickBot="1"/>
    <row r="42" spans="1:5">
      <c r="A42" s="16" t="s">
        <v>20</v>
      </c>
      <c r="B42" s="4" t="s">
        <v>47</v>
      </c>
    </row>
    <row r="43" spans="1:5" ht="13.8" customHeight="1">
      <c r="A43" s="145" t="s">
        <v>534</v>
      </c>
      <c r="B43" s="147" t="s">
        <v>540</v>
      </c>
    </row>
    <row r="44" spans="1:5" ht="13.8" customHeight="1">
      <c r="A44" s="145" t="s">
        <v>531</v>
      </c>
      <c r="B44" s="147" t="s">
        <v>541</v>
      </c>
    </row>
    <row r="45" spans="1:5" ht="55.2">
      <c r="A45" s="146" t="s">
        <v>538</v>
      </c>
      <c r="B45" s="147" t="s">
        <v>542</v>
      </c>
    </row>
    <row r="46" spans="1:5" ht="27.6">
      <c r="A46" s="146" t="s">
        <v>32</v>
      </c>
      <c r="B46" s="147" t="s">
        <v>48</v>
      </c>
    </row>
    <row r="47" spans="1:5" ht="41.4">
      <c r="A47" s="146" t="s">
        <v>27</v>
      </c>
      <c r="B47" s="147" t="s">
        <v>49</v>
      </c>
    </row>
    <row r="48" spans="1:5" ht="27.6">
      <c r="A48" s="145" t="s">
        <v>36</v>
      </c>
      <c r="B48" s="147" t="s">
        <v>50</v>
      </c>
    </row>
    <row r="49" spans="1:2">
      <c r="A49" s="145" t="s">
        <v>40</v>
      </c>
      <c r="B49" s="147" t="s">
        <v>51</v>
      </c>
    </row>
    <row r="50" spans="1:2" ht="27.6">
      <c r="A50" s="145" t="s">
        <v>42</v>
      </c>
      <c r="B50" s="147" t="s">
        <v>52</v>
      </c>
    </row>
    <row r="51" spans="1:2" ht="27.6">
      <c r="A51" s="145" t="s">
        <v>44</v>
      </c>
      <c r="B51" s="17" t="s">
        <v>53</v>
      </c>
    </row>
    <row r="52" spans="1:2" ht="41.4">
      <c r="A52" s="146" t="s">
        <v>439</v>
      </c>
      <c r="B52" s="147" t="s">
        <v>440</v>
      </c>
    </row>
  </sheetData>
  <mergeCells count="7">
    <mergeCell ref="B39:B40"/>
    <mergeCell ref="C4:C9"/>
    <mergeCell ref="B5:B6"/>
    <mergeCell ref="B14:B20"/>
    <mergeCell ref="C14:C20"/>
    <mergeCell ref="B25:B26"/>
    <mergeCell ref="C25:C26"/>
  </mergeCells>
  <hyperlinks>
    <hyperlink ref="B46" r:id="rId1" xr:uid="{779ED73B-5D81-4949-A673-88309AB41305}"/>
    <hyperlink ref="B52" r:id="rId2" xr:uid="{2D0362E8-DC4B-4AFE-8F67-EA5DD33151C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298CF-5242-47FA-B1FE-54A99C25C8A4}">
  <dimension ref="A1:R245"/>
  <sheetViews>
    <sheetView topLeftCell="A199" zoomScale="40" zoomScaleNormal="40" workbookViewId="0">
      <selection activeCell="K125" sqref="K125"/>
    </sheetView>
  </sheetViews>
  <sheetFormatPr baseColWidth="10" defaultRowHeight="13.8"/>
  <cols>
    <col min="1" max="1" width="35.44140625" style="3" bestFit="1" customWidth="1"/>
    <col min="2" max="2" width="36.5546875" style="3" bestFit="1" customWidth="1"/>
    <col min="3" max="3" width="14.5546875" style="3" bestFit="1" customWidth="1"/>
    <col min="4" max="4" width="57.33203125" style="100" customWidth="1"/>
    <col min="5" max="5" width="13.33203125" style="3" customWidth="1"/>
    <col min="6" max="7" width="13" style="3" bestFit="1" customWidth="1"/>
    <col min="8" max="9" width="13.77734375" style="3" bestFit="1" customWidth="1"/>
    <col min="10" max="18" width="13" style="3" bestFit="1" customWidth="1"/>
    <col min="19" max="16384" width="11.5546875" style="3"/>
  </cols>
  <sheetData>
    <row r="1" spans="1:18" s="301" customFormat="1">
      <c r="A1" s="298"/>
      <c r="B1" s="299"/>
      <c r="C1" s="299"/>
      <c r="D1" s="300"/>
    </row>
    <row r="2" spans="1:18" ht="14.4" thickBot="1">
      <c r="A2" s="302" t="s">
        <v>167</v>
      </c>
    </row>
    <row r="3" spans="1:18" ht="15.6">
      <c r="A3" s="303"/>
      <c r="B3" s="4" t="s">
        <v>20</v>
      </c>
      <c r="C3" s="4" t="s">
        <v>21</v>
      </c>
      <c r="D3" s="101" t="s">
        <v>22</v>
      </c>
      <c r="E3" s="4">
        <v>2010</v>
      </c>
      <c r="F3" s="4">
        <v>2011</v>
      </c>
      <c r="G3" s="4">
        <v>2012</v>
      </c>
      <c r="H3" s="4">
        <v>2013</v>
      </c>
      <c r="I3" s="4">
        <v>2014</v>
      </c>
      <c r="J3" s="4">
        <v>2015</v>
      </c>
      <c r="K3" s="4">
        <v>2016</v>
      </c>
      <c r="L3" s="4">
        <v>2017</v>
      </c>
      <c r="M3" s="4">
        <v>2018</v>
      </c>
      <c r="N3" s="4">
        <v>2019</v>
      </c>
      <c r="O3" s="4">
        <v>2020</v>
      </c>
      <c r="P3" s="4">
        <v>2021</v>
      </c>
      <c r="Q3" s="4">
        <v>2022</v>
      </c>
      <c r="R3" s="4">
        <v>2023</v>
      </c>
    </row>
    <row r="4" spans="1:18" ht="14.4" customHeight="1">
      <c r="A4" s="5" t="s">
        <v>168</v>
      </c>
      <c r="B4" s="394" t="s">
        <v>169</v>
      </c>
      <c r="C4" s="442" t="s">
        <v>170</v>
      </c>
      <c r="D4" s="153" t="s">
        <v>171</v>
      </c>
      <c r="E4" s="68">
        <v>595.07737594517198</v>
      </c>
      <c r="F4" s="68">
        <v>2167.5541458693601</v>
      </c>
      <c r="G4" s="68">
        <v>580.97379348907498</v>
      </c>
      <c r="H4" s="68">
        <v>1318.3527039133101</v>
      </c>
      <c r="I4" s="68">
        <v>976.62368177423798</v>
      </c>
      <c r="J4" s="68">
        <v>1095.6544557239399</v>
      </c>
      <c r="K4" s="68">
        <v>1423.0581829570899</v>
      </c>
      <c r="L4" s="68">
        <v>2120.7366717207801</v>
      </c>
      <c r="M4" s="68">
        <v>2621.5886402249298</v>
      </c>
      <c r="N4" s="68">
        <v>2309.1128002352102</v>
      </c>
      <c r="O4" s="68">
        <v>2154.9573465984199</v>
      </c>
      <c r="P4" s="68">
        <v>1948.0343930222</v>
      </c>
      <c r="Q4" s="68">
        <v>1763.7355126652201</v>
      </c>
      <c r="R4" s="68">
        <v>2493.63305541711</v>
      </c>
    </row>
    <row r="5" spans="1:18">
      <c r="A5" s="5" t="s">
        <v>172</v>
      </c>
      <c r="B5" s="410"/>
      <c r="C5" s="443"/>
      <c r="D5" s="153" t="s">
        <v>112</v>
      </c>
      <c r="E5" s="69">
        <v>4.6300910009322545E-3</v>
      </c>
      <c r="F5" s="69">
        <v>1.686498823599672E-2</v>
      </c>
      <c r="G5" s="69">
        <v>4.5203559095802056E-3</v>
      </c>
      <c r="H5" s="69">
        <v>1.0257645874620056E-2</v>
      </c>
      <c r="I5" s="69">
        <v>7.5987706860777219E-3</v>
      </c>
      <c r="J5" s="69">
        <v>8.5249079206233258E-3</v>
      </c>
      <c r="K5" s="69">
        <v>1.1072322950015329E-2</v>
      </c>
      <c r="L5" s="69">
        <v>1.6500717681436617E-2</v>
      </c>
      <c r="M5" s="69">
        <v>2.0397673415112384E-2</v>
      </c>
      <c r="N5" s="69">
        <v>1.7966407107185313E-2</v>
      </c>
      <c r="O5" s="69">
        <v>1.6766976902844805E-2</v>
      </c>
      <c r="P5" s="69">
        <v>1.5156981053619558E-2</v>
      </c>
      <c r="Q5" s="69">
        <v>1.3723015283928854E-2</v>
      </c>
      <c r="R5" s="69">
        <v>1.9402095317731825E-2</v>
      </c>
    </row>
    <row r="6" spans="1:18">
      <c r="A6" s="5" t="s">
        <v>394</v>
      </c>
      <c r="B6" s="395"/>
      <c r="C6" s="444"/>
      <c r="D6" s="153" t="s">
        <v>171</v>
      </c>
      <c r="E6" s="258">
        <v>0</v>
      </c>
      <c r="F6" s="258">
        <v>0</v>
      </c>
      <c r="G6" s="258">
        <v>0</v>
      </c>
      <c r="H6" s="258">
        <v>0</v>
      </c>
      <c r="I6" s="258">
        <v>0</v>
      </c>
      <c r="J6" s="258">
        <v>0</v>
      </c>
      <c r="K6" s="258">
        <v>0</v>
      </c>
      <c r="L6" s="258">
        <v>0</v>
      </c>
      <c r="M6" s="258">
        <v>0</v>
      </c>
      <c r="N6" s="258">
        <v>0</v>
      </c>
      <c r="O6" s="258">
        <v>0</v>
      </c>
      <c r="P6" s="258">
        <v>0</v>
      </c>
      <c r="Q6" s="258">
        <v>0</v>
      </c>
      <c r="R6" s="258">
        <v>0</v>
      </c>
    </row>
    <row r="8" spans="1:18">
      <c r="E8" s="304"/>
      <c r="F8" s="304"/>
      <c r="G8" s="304"/>
      <c r="H8" s="304"/>
      <c r="I8" s="304"/>
      <c r="J8" s="304"/>
      <c r="K8" s="304"/>
      <c r="L8" s="304"/>
      <c r="M8" s="304"/>
      <c r="N8" s="304"/>
      <c r="O8" s="304"/>
      <c r="P8" s="304"/>
      <c r="Q8" s="304"/>
      <c r="R8" s="304"/>
    </row>
    <row r="9" spans="1:18" ht="14.4" thickBot="1">
      <c r="A9" s="1" t="s">
        <v>173</v>
      </c>
    </row>
    <row r="10" spans="1:18">
      <c r="B10" s="4" t="s">
        <v>20</v>
      </c>
      <c r="C10" s="4" t="s">
        <v>21</v>
      </c>
      <c r="D10" s="101" t="s">
        <v>22</v>
      </c>
      <c r="E10" s="4">
        <v>2010</v>
      </c>
      <c r="F10" s="4">
        <v>2011</v>
      </c>
      <c r="G10" s="4">
        <v>2012</v>
      </c>
      <c r="H10" s="4">
        <v>2013</v>
      </c>
      <c r="I10" s="4">
        <v>2014</v>
      </c>
      <c r="J10" s="4">
        <v>2015</v>
      </c>
      <c r="K10" s="4">
        <v>2016</v>
      </c>
      <c r="L10" s="4">
        <v>2017</v>
      </c>
      <c r="M10" s="4">
        <v>2018</v>
      </c>
      <c r="N10" s="4">
        <v>2019</v>
      </c>
      <c r="O10" s="4">
        <v>2020</v>
      </c>
      <c r="P10" s="4">
        <v>2021</v>
      </c>
      <c r="Q10" s="4">
        <v>2022</v>
      </c>
      <c r="R10" s="4">
        <v>2023</v>
      </c>
    </row>
    <row r="11" spans="1:18" ht="13.8" customHeight="1">
      <c r="A11" s="5" t="s">
        <v>174</v>
      </c>
      <c r="B11" s="152" t="s">
        <v>169</v>
      </c>
      <c r="C11" s="153" t="s">
        <v>175</v>
      </c>
      <c r="D11" s="259" t="s">
        <v>176</v>
      </c>
      <c r="E11" s="69">
        <v>0.19400000000000001</v>
      </c>
      <c r="F11" s="69">
        <v>0.67999999999999994</v>
      </c>
      <c r="G11" s="69">
        <v>0.184</v>
      </c>
      <c r="H11" s="69">
        <v>0.41</v>
      </c>
      <c r="I11" s="69">
        <v>0.30499999999999999</v>
      </c>
      <c r="J11" s="69">
        <v>0.34900000000000003</v>
      </c>
      <c r="K11" s="69">
        <v>0.45499999999999996</v>
      </c>
      <c r="L11" s="69">
        <v>0.68300000000000005</v>
      </c>
      <c r="M11" s="69">
        <v>0.85799999999999998</v>
      </c>
      <c r="N11" s="69">
        <v>0.76300000000000001</v>
      </c>
      <c r="O11" s="69">
        <v>0.71699999999999997</v>
      </c>
      <c r="P11" s="69">
        <v>0.65199999999999991</v>
      </c>
      <c r="Q11" s="69">
        <v>0.58899999999999997</v>
      </c>
      <c r="R11" s="69">
        <v>0.83499999999999996</v>
      </c>
    </row>
    <row r="14" spans="1:18" ht="14.4" thickBot="1">
      <c r="A14" s="1" t="s">
        <v>179</v>
      </c>
    </row>
    <row r="15" spans="1:18" ht="15.6">
      <c r="A15" s="303"/>
      <c r="B15" s="4" t="s">
        <v>20</v>
      </c>
      <c r="C15" s="4" t="s">
        <v>21</v>
      </c>
      <c r="D15" s="101" t="s">
        <v>22</v>
      </c>
      <c r="E15" s="4">
        <v>2010</v>
      </c>
      <c r="F15" s="4">
        <v>2011</v>
      </c>
      <c r="G15" s="4">
        <v>2012</v>
      </c>
      <c r="H15" s="4">
        <v>2013</v>
      </c>
      <c r="I15" s="4">
        <v>2014</v>
      </c>
      <c r="J15" s="4">
        <v>2015</v>
      </c>
      <c r="K15" s="4">
        <v>2016</v>
      </c>
      <c r="L15" s="4">
        <v>2017</v>
      </c>
      <c r="M15" s="4">
        <v>2018</v>
      </c>
      <c r="N15" s="4">
        <v>2019</v>
      </c>
      <c r="O15" s="4">
        <v>2020</v>
      </c>
      <c r="P15" s="4">
        <v>2021</v>
      </c>
      <c r="Q15" s="4">
        <v>2022</v>
      </c>
      <c r="R15" s="4">
        <v>2023</v>
      </c>
    </row>
    <row r="16" spans="1:18">
      <c r="A16" s="5" t="s">
        <v>180</v>
      </c>
      <c r="B16" s="357" t="s">
        <v>181</v>
      </c>
      <c r="C16" s="344" t="s">
        <v>182</v>
      </c>
      <c r="D16" s="148" t="s">
        <v>183</v>
      </c>
      <c r="E16" s="305">
        <v>59004862</v>
      </c>
      <c r="F16" s="305">
        <v>62454202.100000024</v>
      </c>
      <c r="G16" s="305">
        <v>62920049.900000095</v>
      </c>
      <c r="H16" s="305">
        <v>63385897.700000048</v>
      </c>
      <c r="I16" s="305">
        <v>63851745.5</v>
      </c>
      <c r="J16" s="305">
        <v>63936809</v>
      </c>
      <c r="K16" s="305">
        <v>65432190</v>
      </c>
      <c r="L16" s="305">
        <v>65094144</v>
      </c>
      <c r="M16" s="305">
        <v>65602317</v>
      </c>
      <c r="N16" s="305">
        <v>66843982.788888693</v>
      </c>
      <c r="O16" s="305">
        <v>67508730.075555325</v>
      </c>
      <c r="P16" s="305">
        <v>68173477.362222195</v>
      </c>
      <c r="Q16" s="305">
        <v>68838224.648888826</v>
      </c>
      <c r="R16" s="305">
        <v>69502971.935555458</v>
      </c>
    </row>
    <row r="17" spans="1:18">
      <c r="A17" s="5" t="s">
        <v>184</v>
      </c>
      <c r="B17" s="357"/>
      <c r="C17" s="344"/>
      <c r="D17" s="148" t="s">
        <v>185</v>
      </c>
      <c r="E17" s="296">
        <v>4.3739186192009498</v>
      </c>
      <c r="F17" s="296">
        <v>4.6296113834083599</v>
      </c>
      <c r="G17" s="296">
        <v>4.6641438426230764</v>
      </c>
      <c r="H17" s="296">
        <v>4.6986763018377928</v>
      </c>
      <c r="I17" s="296">
        <v>4.7332087610524951</v>
      </c>
      <c r="J17" s="296">
        <v>4.7395143571314202</v>
      </c>
      <c r="K17" s="296">
        <v>4.8503642655090804</v>
      </c>
      <c r="L17" s="296">
        <v>4.8253055560497398</v>
      </c>
      <c r="M17" s="296">
        <v>4.86297545766692</v>
      </c>
      <c r="N17" s="296">
        <v>4.955017791568892</v>
      </c>
      <c r="O17" s="296">
        <v>5.00429427111645</v>
      </c>
      <c r="P17" s="296">
        <v>5.053570750664008</v>
      </c>
      <c r="Q17" s="296">
        <v>5.1028472302115802</v>
      </c>
      <c r="R17" s="296">
        <v>5.1521237097591381</v>
      </c>
    </row>
    <row r="20" spans="1:18" ht="14.4" thickBot="1">
      <c r="A20" s="1" t="s">
        <v>186</v>
      </c>
    </row>
    <row r="21" spans="1:18" ht="15.6">
      <c r="A21" s="303"/>
      <c r="B21" s="4" t="s">
        <v>20</v>
      </c>
      <c r="C21" s="4" t="s">
        <v>21</v>
      </c>
      <c r="D21" s="101" t="s">
        <v>22</v>
      </c>
      <c r="E21" s="4">
        <v>2010</v>
      </c>
      <c r="F21" s="4">
        <v>2011</v>
      </c>
      <c r="G21" s="4">
        <v>2012</v>
      </c>
      <c r="H21" s="4">
        <v>2013</v>
      </c>
      <c r="I21" s="4">
        <v>2014</v>
      </c>
      <c r="J21" s="4">
        <v>2015</v>
      </c>
      <c r="K21" s="4">
        <v>2016</v>
      </c>
      <c r="L21" s="4">
        <v>2017</v>
      </c>
      <c r="M21" s="4">
        <v>2018</v>
      </c>
      <c r="N21" s="4">
        <v>2019</v>
      </c>
      <c r="O21" s="4">
        <v>2020</v>
      </c>
      <c r="P21" s="4">
        <v>2021</v>
      </c>
      <c r="Q21" s="4">
        <v>2022</v>
      </c>
      <c r="R21" s="4">
        <v>2023</v>
      </c>
    </row>
    <row r="22" spans="1:18" ht="16.8" customHeight="1">
      <c r="A22" s="5" t="s">
        <v>187</v>
      </c>
      <c r="B22" s="357" t="s">
        <v>188</v>
      </c>
      <c r="C22" s="344" t="s">
        <v>396</v>
      </c>
      <c r="D22" s="147" t="s">
        <v>183</v>
      </c>
      <c r="E22" s="306">
        <v>14751215.5</v>
      </c>
      <c r="F22" s="306">
        <v>15613550.525000006</v>
      </c>
      <c r="G22" s="306">
        <v>15730012.475000024</v>
      </c>
      <c r="H22" s="306">
        <v>15846474.425000012</v>
      </c>
      <c r="I22" s="306">
        <v>15962936.375</v>
      </c>
      <c r="J22" s="306">
        <v>15984202.25</v>
      </c>
      <c r="K22" s="306">
        <v>16358047.5</v>
      </c>
      <c r="L22" s="306">
        <v>16273536</v>
      </c>
      <c r="M22" s="306">
        <v>16400579.25</v>
      </c>
      <c r="N22" s="306">
        <v>16710995.697222173</v>
      </c>
      <c r="O22" s="306">
        <v>16877182.518888831</v>
      </c>
      <c r="P22" s="306">
        <v>17043369.340555549</v>
      </c>
      <c r="Q22" s="306">
        <v>17209556.162222207</v>
      </c>
      <c r="R22" s="306">
        <v>17375742.983888865</v>
      </c>
    </row>
    <row r="23" spans="1:18" ht="22.8" customHeight="1">
      <c r="A23" s="5" t="s">
        <v>190</v>
      </c>
      <c r="B23" s="357"/>
      <c r="C23" s="344"/>
      <c r="D23" s="147" t="s">
        <v>185</v>
      </c>
      <c r="E23" s="19">
        <v>1.1477409980656905</v>
      </c>
      <c r="F23" s="19">
        <v>1.2148363002975988</v>
      </c>
      <c r="G23" s="19">
        <v>1.223897801346763</v>
      </c>
      <c r="H23" s="19">
        <v>1.2329593023959249</v>
      </c>
      <c r="I23" s="19">
        <v>1.2420208034450868</v>
      </c>
      <c r="J23" s="19">
        <v>1.2436754275401141</v>
      </c>
      <c r="K23" s="19">
        <v>1.2727630319044538</v>
      </c>
      <c r="L23" s="19">
        <v>1.2661874847328984</v>
      </c>
      <c r="M23" s="19">
        <v>1.2760722800945086</v>
      </c>
      <c r="N23" s="19">
        <v>1.3002247089537291</v>
      </c>
      <c r="O23" s="19">
        <v>1.313155130081741</v>
      </c>
      <c r="P23" s="19">
        <v>1.3260855512097574</v>
      </c>
      <c r="Q23" s="19">
        <v>1.339015972337769</v>
      </c>
      <c r="R23" s="19">
        <v>1.3519463934657809</v>
      </c>
    </row>
    <row r="26" spans="1:18" ht="14.4" thickBot="1">
      <c r="A26" s="1" t="s">
        <v>191</v>
      </c>
    </row>
    <row r="27" spans="1:18" ht="15.6">
      <c r="A27" s="303"/>
      <c r="B27" s="4" t="s">
        <v>20</v>
      </c>
      <c r="C27" s="4" t="s">
        <v>21</v>
      </c>
      <c r="D27" s="101" t="s">
        <v>22</v>
      </c>
      <c r="E27" s="4">
        <v>2010</v>
      </c>
      <c r="F27" s="4">
        <v>2011</v>
      </c>
      <c r="G27" s="4">
        <v>2012</v>
      </c>
      <c r="H27" s="4">
        <v>2013</v>
      </c>
      <c r="I27" s="4">
        <v>2014</v>
      </c>
      <c r="J27" s="4">
        <v>2015</v>
      </c>
      <c r="K27" s="4">
        <v>2016</v>
      </c>
      <c r="L27" s="4">
        <v>2017</v>
      </c>
      <c r="M27" s="4">
        <v>2018</v>
      </c>
      <c r="N27" s="4">
        <v>2019</v>
      </c>
      <c r="O27" s="4">
        <v>2020</v>
      </c>
      <c r="P27" s="4">
        <v>2021</v>
      </c>
      <c r="Q27" s="4">
        <v>2022</v>
      </c>
      <c r="R27" s="4">
        <v>2023</v>
      </c>
    </row>
    <row r="28" spans="1:18" s="43" customFormat="1" ht="22.2" customHeight="1">
      <c r="A28" s="5" t="s">
        <v>187</v>
      </c>
      <c r="B28" s="357" t="s">
        <v>181</v>
      </c>
      <c r="C28" s="345" t="s">
        <v>490</v>
      </c>
      <c r="D28" s="147" t="s">
        <v>183</v>
      </c>
      <c r="E28" s="306">
        <v>101783386.95</v>
      </c>
      <c r="F28" s="306">
        <v>107733498.62250005</v>
      </c>
      <c r="G28" s="306">
        <v>108537086.07750016</v>
      </c>
      <c r="H28" s="306">
        <v>109340673.53250009</v>
      </c>
      <c r="I28" s="306">
        <v>110144260.98750001</v>
      </c>
      <c r="J28" s="306">
        <v>110290995.52500001</v>
      </c>
      <c r="K28" s="306">
        <v>112870527.75</v>
      </c>
      <c r="L28" s="306">
        <v>112287398.40000001</v>
      </c>
      <c r="M28" s="306">
        <v>113163996.825</v>
      </c>
      <c r="N28" s="306">
        <v>115305870.31083301</v>
      </c>
      <c r="O28" s="306">
        <v>116452559.38033295</v>
      </c>
      <c r="P28" s="306">
        <v>117599248.44983329</v>
      </c>
      <c r="Q28" s="306">
        <v>118745937.51933323</v>
      </c>
      <c r="R28" s="306">
        <v>119892626.58883317</v>
      </c>
    </row>
    <row r="29" spans="1:18" s="43" customFormat="1" ht="22.8" customHeight="1">
      <c r="A29" s="5" t="s">
        <v>190</v>
      </c>
      <c r="B29" s="357"/>
      <c r="C29" s="345"/>
      <c r="D29" s="147" t="s">
        <v>185</v>
      </c>
      <c r="E29" s="19">
        <v>7.9194128866532649</v>
      </c>
      <c r="F29" s="19">
        <v>8.3823704720534327</v>
      </c>
      <c r="G29" s="19">
        <v>8.4448948292926644</v>
      </c>
      <c r="H29" s="19">
        <v>8.507419186531882</v>
      </c>
      <c r="I29" s="19">
        <v>8.5699435437710996</v>
      </c>
      <c r="J29" s="19">
        <v>8.5813604500267875</v>
      </c>
      <c r="K29" s="19">
        <v>8.7820649201407317</v>
      </c>
      <c r="L29" s="19">
        <v>8.7366936446570005</v>
      </c>
      <c r="M29" s="19">
        <v>8.8048987326521093</v>
      </c>
      <c r="N29" s="19">
        <v>8.9715504917807323</v>
      </c>
      <c r="O29" s="19">
        <v>9.0607703975640135</v>
      </c>
      <c r="P29" s="19">
        <v>9.1499903033473267</v>
      </c>
      <c r="Q29" s="19">
        <v>9.2392102091306079</v>
      </c>
      <c r="R29" s="19">
        <v>9.3284301149138891</v>
      </c>
    </row>
    <row r="32" spans="1:18" ht="14.4" thickBot="1">
      <c r="A32" s="1" t="s">
        <v>195</v>
      </c>
    </row>
    <row r="33" spans="1:8" ht="15.6">
      <c r="A33" s="303"/>
      <c r="B33" s="4" t="s">
        <v>196</v>
      </c>
      <c r="C33" s="4" t="s">
        <v>20</v>
      </c>
      <c r="D33" s="101" t="s">
        <v>21</v>
      </c>
      <c r="E33" s="4" t="s">
        <v>22</v>
      </c>
      <c r="F33" s="4">
        <v>2010</v>
      </c>
      <c r="G33" s="4">
        <v>2017</v>
      </c>
      <c r="H33" s="4">
        <v>2020</v>
      </c>
    </row>
    <row r="34" spans="1:8" ht="14.4" customHeight="1">
      <c r="A34" s="382" t="s">
        <v>197</v>
      </c>
      <c r="B34" s="125" t="s">
        <v>491</v>
      </c>
      <c r="C34" s="391"/>
      <c r="D34" s="339"/>
      <c r="E34" s="377" t="s">
        <v>171</v>
      </c>
      <c r="F34" s="306">
        <v>9.1999999999999993</v>
      </c>
      <c r="G34" s="306">
        <v>2.2999999999999998</v>
      </c>
      <c r="H34" s="306">
        <v>13819.5</v>
      </c>
    </row>
    <row r="35" spans="1:8" ht="14.4" customHeight="1">
      <c r="A35" s="382"/>
      <c r="B35" s="125" t="s">
        <v>492</v>
      </c>
      <c r="C35" s="391"/>
      <c r="D35" s="339"/>
      <c r="E35" s="377"/>
      <c r="F35" s="306">
        <v>1274.5</v>
      </c>
      <c r="G35" s="306">
        <v>5423.1</v>
      </c>
      <c r="H35" s="306">
        <v>10108.1</v>
      </c>
    </row>
    <row r="36" spans="1:8" ht="14.4" customHeight="1">
      <c r="A36" s="382"/>
      <c r="B36" s="125" t="s">
        <v>493</v>
      </c>
      <c r="C36" s="391"/>
      <c r="D36" s="339"/>
      <c r="E36" s="377"/>
      <c r="F36" s="306">
        <v>9851.5</v>
      </c>
      <c r="G36" s="306">
        <v>23298.39</v>
      </c>
      <c r="H36" s="306">
        <v>118625.60000000001</v>
      </c>
    </row>
    <row r="37" spans="1:8" ht="14.4" customHeight="1">
      <c r="A37" s="382"/>
      <c r="B37" s="125" t="s">
        <v>494</v>
      </c>
      <c r="C37" s="391"/>
      <c r="D37" s="339"/>
      <c r="E37" s="377"/>
      <c r="F37" s="306">
        <v>0</v>
      </c>
      <c r="G37" s="306">
        <v>0</v>
      </c>
      <c r="H37" s="306">
        <v>15307.69</v>
      </c>
    </row>
    <row r="38" spans="1:8" ht="14.4" customHeight="1">
      <c r="A38" s="382"/>
      <c r="B38" s="125" t="s">
        <v>495</v>
      </c>
      <c r="C38" s="391"/>
      <c r="D38" s="339"/>
      <c r="E38" s="377"/>
      <c r="F38" s="306">
        <v>14.2</v>
      </c>
      <c r="G38" s="306">
        <v>5692</v>
      </c>
      <c r="H38" s="306">
        <v>32147.9</v>
      </c>
    </row>
    <row r="39" spans="1:8" ht="14.4" customHeight="1">
      <c r="A39" s="382"/>
      <c r="B39" s="125" t="s">
        <v>496</v>
      </c>
      <c r="C39" s="391"/>
      <c r="D39" s="339"/>
      <c r="E39" s="377"/>
      <c r="F39" s="306">
        <v>0</v>
      </c>
      <c r="G39" s="306">
        <v>0</v>
      </c>
      <c r="H39" s="306">
        <v>170.6</v>
      </c>
    </row>
    <row r="40" spans="1:8" ht="14.4" customHeight="1">
      <c r="A40" s="382"/>
      <c r="B40" s="125" t="s">
        <v>497</v>
      </c>
      <c r="C40" s="391"/>
      <c r="D40" s="339"/>
      <c r="E40" s="377"/>
      <c r="F40" s="306">
        <v>271168.3</v>
      </c>
      <c r="G40" s="306">
        <v>573275.99</v>
      </c>
      <c r="H40" s="306">
        <v>465493.6</v>
      </c>
    </row>
    <row r="41" spans="1:8" ht="14.4" customHeight="1">
      <c r="A41" s="382"/>
      <c r="B41" s="125" t="s">
        <v>498</v>
      </c>
      <c r="C41" s="391"/>
      <c r="D41" s="339"/>
      <c r="E41" s="377"/>
      <c r="F41" s="306">
        <v>142515.5</v>
      </c>
      <c r="G41" s="306">
        <v>148129.9</v>
      </c>
      <c r="H41" s="306">
        <v>240106.39</v>
      </c>
    </row>
    <row r="42" spans="1:8" ht="14.4" customHeight="1">
      <c r="A42" s="382"/>
      <c r="B42" s="125" t="s">
        <v>499</v>
      </c>
      <c r="C42" s="391"/>
      <c r="D42" s="339"/>
      <c r="E42" s="377"/>
      <c r="F42" s="306">
        <v>147737.20000000001</v>
      </c>
      <c r="G42" s="306">
        <v>164679.79</v>
      </c>
      <c r="H42" s="306">
        <v>170268.6</v>
      </c>
    </row>
    <row r="43" spans="1:8" ht="14.4" customHeight="1">
      <c r="A43" s="382"/>
      <c r="B43" s="125" t="s">
        <v>500</v>
      </c>
      <c r="C43" s="391"/>
      <c r="D43" s="339"/>
      <c r="E43" s="377"/>
      <c r="F43" s="306">
        <v>540425.1</v>
      </c>
      <c r="G43" s="306">
        <v>947890.7</v>
      </c>
      <c r="H43" s="306">
        <v>1026105.19</v>
      </c>
    </row>
    <row r="44" spans="1:8" ht="14.4" customHeight="1">
      <c r="A44" s="382"/>
      <c r="B44" s="125" t="s">
        <v>501</v>
      </c>
      <c r="C44" s="391"/>
      <c r="D44" s="339"/>
      <c r="E44" s="377"/>
      <c r="F44" s="306">
        <v>0.2</v>
      </c>
      <c r="G44" s="306">
        <v>0</v>
      </c>
      <c r="H44" s="306">
        <v>1987.7</v>
      </c>
    </row>
    <row r="45" spans="1:8" ht="14.4" customHeight="1">
      <c r="A45" s="382"/>
      <c r="B45" s="125" t="s">
        <v>502</v>
      </c>
      <c r="C45" s="391"/>
      <c r="D45" s="339"/>
      <c r="E45" s="377"/>
      <c r="F45" s="306">
        <v>0</v>
      </c>
      <c r="G45" s="306">
        <v>0</v>
      </c>
      <c r="H45" s="306">
        <v>22802.400000000001</v>
      </c>
    </row>
    <row r="46" spans="1:8" ht="14.4" customHeight="1">
      <c r="A46" s="382"/>
      <c r="B46" s="125" t="s">
        <v>503</v>
      </c>
      <c r="C46" s="391"/>
      <c r="D46" s="339"/>
      <c r="E46" s="377"/>
      <c r="F46" s="306">
        <v>28516.799999999999</v>
      </c>
      <c r="G46" s="306">
        <v>21131.9</v>
      </c>
      <c r="H46" s="306">
        <v>32116.6</v>
      </c>
    </row>
    <row r="47" spans="1:8" ht="14.4" customHeight="1">
      <c r="A47" s="382"/>
      <c r="B47" s="125" t="s">
        <v>504</v>
      </c>
      <c r="C47" s="391"/>
      <c r="D47" s="339"/>
      <c r="E47" s="377"/>
      <c r="F47" s="306">
        <v>1023.6</v>
      </c>
      <c r="G47" s="306">
        <v>1373.99</v>
      </c>
      <c r="H47" s="306">
        <v>956.4</v>
      </c>
    </row>
    <row r="48" spans="1:8" ht="14.4" customHeight="1">
      <c r="A48" s="382"/>
      <c r="B48" s="125" t="s">
        <v>505</v>
      </c>
      <c r="C48" s="391"/>
      <c r="D48" s="339"/>
      <c r="E48" s="377"/>
      <c r="F48" s="306">
        <v>30721.200000000001</v>
      </c>
      <c r="G48" s="306">
        <v>21037.3</v>
      </c>
      <c r="H48" s="306">
        <v>46892.59</v>
      </c>
    </row>
    <row r="49" spans="1:8" ht="14.4" customHeight="1">
      <c r="A49" s="382"/>
      <c r="B49" s="125" t="s">
        <v>506</v>
      </c>
      <c r="C49" s="391"/>
      <c r="D49" s="339"/>
      <c r="E49" s="377"/>
      <c r="F49" s="306">
        <v>21901.1</v>
      </c>
      <c r="G49" s="306">
        <v>27916.799999999999</v>
      </c>
      <c r="H49" s="306">
        <v>26640.2</v>
      </c>
    </row>
    <row r="50" spans="1:8" ht="14.4" customHeight="1">
      <c r="A50" s="382"/>
      <c r="B50" s="125" t="s">
        <v>507</v>
      </c>
      <c r="C50" s="391"/>
      <c r="D50" s="339"/>
      <c r="E50" s="377"/>
      <c r="F50" s="306">
        <v>1771.4</v>
      </c>
      <c r="G50" s="306">
        <v>4350.79</v>
      </c>
      <c r="H50" s="306">
        <v>6294.69</v>
      </c>
    </row>
    <row r="51" spans="1:8" ht="14.4" customHeight="1">
      <c r="A51" s="382"/>
      <c r="B51" s="125" t="s">
        <v>508</v>
      </c>
      <c r="C51" s="391"/>
      <c r="D51" s="339"/>
      <c r="E51" s="377"/>
      <c r="F51" s="306">
        <v>29158.400000000001</v>
      </c>
      <c r="G51" s="306">
        <v>40384</v>
      </c>
      <c r="H51" s="306">
        <v>114952.7</v>
      </c>
    </row>
    <row r="52" spans="1:8" ht="14.4" customHeight="1">
      <c r="A52" s="382"/>
      <c r="B52" s="125" t="s">
        <v>509</v>
      </c>
      <c r="C52" s="391"/>
      <c r="D52" s="339"/>
      <c r="E52" s="377"/>
      <c r="F52" s="306">
        <v>38507.1</v>
      </c>
      <c r="G52" s="306">
        <v>114825.69</v>
      </c>
      <c r="H52" s="306">
        <v>153280.69</v>
      </c>
    </row>
    <row r="53" spans="1:8" ht="14.4" customHeight="1">
      <c r="A53" s="382"/>
      <c r="B53" s="125" t="s">
        <v>510</v>
      </c>
      <c r="C53" s="391"/>
      <c r="D53" s="339"/>
      <c r="E53" s="377"/>
      <c r="F53" s="306">
        <v>801610.29</v>
      </c>
      <c r="G53" s="306">
        <v>814605.6</v>
      </c>
      <c r="H53" s="306">
        <v>723607.39</v>
      </c>
    </row>
    <row r="54" spans="1:8" ht="14.4" customHeight="1">
      <c r="A54" s="382"/>
      <c r="B54" s="125" t="s">
        <v>511</v>
      </c>
      <c r="C54" s="391"/>
      <c r="D54" s="339"/>
      <c r="E54" s="377"/>
      <c r="F54" s="306">
        <v>232.5</v>
      </c>
      <c r="G54" s="306">
        <v>3061.19</v>
      </c>
      <c r="H54" s="306">
        <v>33298</v>
      </c>
    </row>
    <row r="55" spans="1:8" ht="14.4" customHeight="1">
      <c r="A55" s="382"/>
      <c r="B55" s="125" t="s">
        <v>512</v>
      </c>
      <c r="C55" s="391"/>
      <c r="D55" s="339"/>
      <c r="E55" s="377"/>
      <c r="F55" s="306">
        <v>1816.7</v>
      </c>
      <c r="G55" s="306">
        <v>5485.8</v>
      </c>
      <c r="H55" s="306">
        <v>5018.49</v>
      </c>
    </row>
    <row r="56" spans="1:8" ht="14.4" customHeight="1">
      <c r="A56" s="382"/>
      <c r="B56" s="125" t="s">
        <v>513</v>
      </c>
      <c r="C56" s="391"/>
      <c r="D56" s="339"/>
      <c r="E56" s="377"/>
      <c r="F56" s="306">
        <v>47778</v>
      </c>
      <c r="G56" s="306">
        <v>128523.91</v>
      </c>
      <c r="H56" s="306">
        <v>249092.3</v>
      </c>
    </row>
    <row r="57" spans="1:8" ht="14.4" customHeight="1">
      <c r="A57" s="382"/>
      <c r="B57" s="125" t="s">
        <v>514</v>
      </c>
      <c r="C57" s="391"/>
      <c r="D57" s="339"/>
      <c r="E57" s="377"/>
      <c r="F57" s="306">
        <v>113428</v>
      </c>
      <c r="G57" s="306">
        <v>215309.8</v>
      </c>
      <c r="H57" s="306">
        <v>87017.99</v>
      </c>
    </row>
    <row r="58" spans="1:8" ht="14.4" customHeight="1">
      <c r="A58" s="382"/>
      <c r="B58" s="125" t="s">
        <v>515</v>
      </c>
      <c r="C58" s="391"/>
      <c r="D58" s="339"/>
      <c r="E58" s="377"/>
      <c r="F58" s="306">
        <v>4156.2</v>
      </c>
      <c r="G58" s="306">
        <v>84737.5</v>
      </c>
      <c r="H58" s="306">
        <v>77944.5</v>
      </c>
    </row>
    <row r="59" spans="1:8" ht="14.4" customHeight="1">
      <c r="A59" s="382"/>
      <c r="B59" s="125" t="s">
        <v>516</v>
      </c>
      <c r="C59" s="391"/>
      <c r="D59" s="339"/>
      <c r="E59" s="377"/>
      <c r="F59" s="306">
        <v>0</v>
      </c>
      <c r="G59" s="306">
        <v>0</v>
      </c>
      <c r="H59" s="306">
        <v>2068.1999999999998</v>
      </c>
    </row>
    <row r="60" spans="1:8" ht="14.4" customHeight="1">
      <c r="A60" s="382"/>
      <c r="B60" s="125" t="s">
        <v>517</v>
      </c>
      <c r="C60" s="391"/>
      <c r="D60" s="339"/>
      <c r="E60" s="377"/>
      <c r="F60" s="306">
        <v>16951.3</v>
      </c>
      <c r="G60" s="306">
        <v>51341.19</v>
      </c>
      <c r="H60" s="306">
        <v>29859.4</v>
      </c>
    </row>
    <row r="61" spans="1:8" ht="14.4" customHeight="1">
      <c r="A61" s="382"/>
      <c r="B61" s="125" t="s">
        <v>518</v>
      </c>
      <c r="C61" s="391"/>
      <c r="D61" s="339"/>
      <c r="E61" s="377"/>
      <c r="F61" s="306">
        <v>753297.8</v>
      </c>
      <c r="G61" s="306">
        <v>796579.5</v>
      </c>
      <c r="H61" s="306">
        <v>591098.30000000005</v>
      </c>
    </row>
    <row r="62" spans="1:8" ht="14.4" customHeight="1">
      <c r="A62" s="382"/>
      <c r="B62" s="125" t="s">
        <v>519</v>
      </c>
      <c r="C62" s="391"/>
      <c r="D62" s="339"/>
      <c r="E62" s="377"/>
      <c r="F62" s="306">
        <v>1777.3</v>
      </c>
      <c r="G62" s="306">
        <v>9068.4</v>
      </c>
      <c r="H62" s="306">
        <v>21297.599999999999</v>
      </c>
    </row>
    <row r="63" spans="1:8" ht="14.4" customHeight="1">
      <c r="A63" s="382"/>
      <c r="B63" s="125" t="s">
        <v>520</v>
      </c>
      <c r="C63" s="391"/>
      <c r="D63" s="339"/>
      <c r="E63" s="377"/>
      <c r="F63" s="306">
        <v>145</v>
      </c>
      <c r="G63" s="306">
        <v>259.2</v>
      </c>
      <c r="H63" s="306">
        <v>0</v>
      </c>
    </row>
    <row r="64" spans="1:8" ht="14.4" customHeight="1">
      <c r="A64" s="382"/>
      <c r="B64" s="125" t="s">
        <v>521</v>
      </c>
      <c r="C64" s="391"/>
      <c r="D64" s="339"/>
      <c r="E64" s="377"/>
      <c r="F64" s="306">
        <v>213.6</v>
      </c>
      <c r="G64" s="306">
        <v>1069.5999999999999</v>
      </c>
      <c r="H64" s="306">
        <v>875.9</v>
      </c>
    </row>
    <row r="65" spans="1:8" ht="14.4" customHeight="1">
      <c r="A65" s="382"/>
      <c r="B65" s="125" t="s">
        <v>522</v>
      </c>
      <c r="C65" s="391"/>
      <c r="D65" s="339"/>
      <c r="E65" s="377"/>
      <c r="F65" s="306">
        <v>7089.9</v>
      </c>
      <c r="G65" s="306">
        <v>20645.2</v>
      </c>
      <c r="H65" s="306">
        <v>20057.490000000002</v>
      </c>
    </row>
    <row r="66" spans="1:8" ht="14.4" customHeight="1">
      <c r="A66" s="382"/>
      <c r="B66" s="125" t="s">
        <v>523</v>
      </c>
      <c r="C66" s="391"/>
      <c r="D66" s="339"/>
      <c r="E66" s="377"/>
      <c r="F66" s="306">
        <v>49.8</v>
      </c>
      <c r="G66" s="306">
        <v>35.1</v>
      </c>
      <c r="H66" s="306">
        <v>52.79</v>
      </c>
    </row>
    <row r="67" spans="1:8" ht="14.4" customHeight="1">
      <c r="A67" s="382"/>
      <c r="B67" s="263" t="s">
        <v>524</v>
      </c>
      <c r="C67" s="391"/>
      <c r="D67" s="339"/>
      <c r="E67" s="381"/>
      <c r="F67" s="307">
        <v>436.6</v>
      </c>
      <c r="G67" s="307">
        <v>1007.9</v>
      </c>
      <c r="H67" s="307">
        <v>7471.3</v>
      </c>
    </row>
    <row r="68" spans="1:8" ht="14.4" customHeight="1">
      <c r="A68" s="382"/>
      <c r="B68" s="263" t="s">
        <v>525</v>
      </c>
      <c r="C68" s="391"/>
      <c r="D68" s="339"/>
      <c r="E68" s="381"/>
      <c r="F68" s="307">
        <v>1161.0999999999999</v>
      </c>
      <c r="G68" s="307">
        <v>2658.7</v>
      </c>
      <c r="H68" s="307">
        <v>1560.1</v>
      </c>
    </row>
    <row r="69" spans="1:8" ht="14.4" customHeight="1">
      <c r="A69" s="382"/>
      <c r="B69" s="263" t="s">
        <v>526</v>
      </c>
      <c r="C69" s="391"/>
      <c r="D69" s="339"/>
      <c r="E69" s="381"/>
      <c r="F69" s="307">
        <v>0</v>
      </c>
      <c r="G69" s="307">
        <v>0</v>
      </c>
      <c r="H69" s="307">
        <v>7328.5</v>
      </c>
    </row>
    <row r="70" spans="1:8" ht="15" customHeight="1" thickBot="1">
      <c r="A70" s="389"/>
      <c r="B70" s="260" t="s">
        <v>527</v>
      </c>
      <c r="C70" s="391"/>
      <c r="D70" s="339"/>
      <c r="E70" s="379"/>
      <c r="F70" s="308">
        <v>18536.3</v>
      </c>
      <c r="G70" s="308">
        <v>29053.5</v>
      </c>
      <c r="H70" s="308">
        <v>125557.4</v>
      </c>
    </row>
    <row r="71" spans="1:8" ht="14.4" customHeight="1" thickTop="1">
      <c r="A71" s="382" t="s">
        <v>222</v>
      </c>
      <c r="B71" s="125" t="s">
        <v>491</v>
      </c>
      <c r="C71" s="391"/>
      <c r="D71" s="339"/>
      <c r="E71" s="377" t="s">
        <v>183</v>
      </c>
      <c r="F71" s="306">
        <v>42.4</v>
      </c>
      <c r="G71" s="306">
        <v>12.4</v>
      </c>
      <c r="H71" s="306">
        <v>206074.027</v>
      </c>
    </row>
    <row r="72" spans="1:8" ht="14.4" customHeight="1">
      <c r="A72" s="382"/>
      <c r="B72" s="125" t="s">
        <v>492</v>
      </c>
      <c r="C72" s="391"/>
      <c r="D72" s="339"/>
      <c r="E72" s="377"/>
      <c r="F72" s="306">
        <v>1109</v>
      </c>
      <c r="G72" s="306">
        <v>5026.7</v>
      </c>
      <c r="H72" s="306">
        <v>77544.09</v>
      </c>
    </row>
    <row r="73" spans="1:8" ht="14.4" customHeight="1">
      <c r="A73" s="382"/>
      <c r="B73" s="125" t="s">
        <v>493</v>
      </c>
      <c r="C73" s="391"/>
      <c r="D73" s="339"/>
      <c r="E73" s="377"/>
      <c r="F73" s="306">
        <v>91380.6</v>
      </c>
      <c r="G73" s="306">
        <v>203598.29</v>
      </c>
      <c r="H73" s="306">
        <v>801808.4</v>
      </c>
    </row>
    <row r="74" spans="1:8" ht="14.4" customHeight="1">
      <c r="A74" s="382"/>
      <c r="B74" s="125" t="s">
        <v>494</v>
      </c>
      <c r="C74" s="391"/>
      <c r="D74" s="339"/>
      <c r="E74" s="377"/>
      <c r="F74" s="306">
        <v>0</v>
      </c>
      <c r="G74" s="306">
        <v>0</v>
      </c>
      <c r="H74" s="306">
        <v>253036</v>
      </c>
    </row>
    <row r="75" spans="1:8" ht="14.4" customHeight="1">
      <c r="A75" s="382"/>
      <c r="B75" s="125" t="s">
        <v>495</v>
      </c>
      <c r="C75" s="391"/>
      <c r="D75" s="339"/>
      <c r="E75" s="377"/>
      <c r="F75" s="306">
        <v>7.6</v>
      </c>
      <c r="G75" s="306">
        <v>1775.39</v>
      </c>
      <c r="H75" s="306">
        <v>15497.2</v>
      </c>
    </row>
    <row r="76" spans="1:8" ht="14.4" customHeight="1">
      <c r="A76" s="382"/>
      <c r="B76" s="125" t="s">
        <v>496</v>
      </c>
      <c r="C76" s="391"/>
      <c r="D76" s="339"/>
      <c r="E76" s="377"/>
      <c r="F76" s="306">
        <v>0</v>
      </c>
      <c r="G76" s="306">
        <v>0</v>
      </c>
      <c r="H76" s="306">
        <v>540.20000000000005</v>
      </c>
    </row>
    <row r="77" spans="1:8" ht="14.4" customHeight="1">
      <c r="A77" s="382"/>
      <c r="B77" s="125" t="s">
        <v>497</v>
      </c>
      <c r="C77" s="391"/>
      <c r="D77" s="339"/>
      <c r="E77" s="377"/>
      <c r="F77" s="306">
        <v>287754.2</v>
      </c>
      <c r="G77" s="306">
        <v>648024.598</v>
      </c>
      <c r="H77" s="306">
        <v>476701.8</v>
      </c>
    </row>
    <row r="78" spans="1:8" ht="14.4" customHeight="1">
      <c r="A78" s="382"/>
      <c r="B78" s="125" t="s">
        <v>498</v>
      </c>
      <c r="C78" s="391"/>
      <c r="D78" s="339"/>
      <c r="E78" s="377"/>
      <c r="F78" s="306">
        <v>59254.9</v>
      </c>
      <c r="G78" s="306">
        <v>64216.9</v>
      </c>
      <c r="H78" s="306">
        <v>123714.49</v>
      </c>
    </row>
    <row r="79" spans="1:8" ht="14.4" customHeight="1">
      <c r="A79" s="382"/>
      <c r="B79" s="125" t="s">
        <v>499</v>
      </c>
      <c r="C79" s="391"/>
      <c r="D79" s="339"/>
      <c r="E79" s="377"/>
      <c r="F79" s="306">
        <v>147451.9</v>
      </c>
      <c r="G79" s="306">
        <v>125333.099</v>
      </c>
      <c r="H79" s="306">
        <v>185207.7004</v>
      </c>
    </row>
    <row r="80" spans="1:8" ht="14.4" customHeight="1">
      <c r="A80" s="382"/>
      <c r="B80" s="125" t="s">
        <v>500</v>
      </c>
      <c r="C80" s="391"/>
      <c r="D80" s="339"/>
      <c r="E80" s="377"/>
      <c r="F80" s="306">
        <v>1181460</v>
      </c>
      <c r="G80" s="306">
        <v>2435422.5</v>
      </c>
      <c r="H80" s="306">
        <v>2869298.9</v>
      </c>
    </row>
    <row r="81" spans="1:8" ht="14.4" customHeight="1">
      <c r="A81" s="382"/>
      <c r="B81" s="125" t="s">
        <v>501</v>
      </c>
      <c r="C81" s="391"/>
      <c r="D81" s="339"/>
      <c r="E81" s="377"/>
      <c r="F81" s="306">
        <v>0.6</v>
      </c>
      <c r="G81" s="306">
        <v>0</v>
      </c>
      <c r="H81" s="306">
        <v>10934.49</v>
      </c>
    </row>
    <row r="82" spans="1:8" ht="14.4" customHeight="1">
      <c r="A82" s="382"/>
      <c r="B82" s="125" t="s">
        <v>502</v>
      </c>
      <c r="C82" s="391"/>
      <c r="D82" s="339"/>
      <c r="E82" s="377"/>
      <c r="F82" s="306">
        <v>0</v>
      </c>
      <c r="G82" s="306">
        <v>0</v>
      </c>
      <c r="H82" s="306">
        <v>554524.89</v>
      </c>
    </row>
    <row r="83" spans="1:8" ht="14.4" customHeight="1">
      <c r="A83" s="382"/>
      <c r="B83" s="125" t="s">
        <v>503</v>
      </c>
      <c r="C83" s="391"/>
      <c r="D83" s="339"/>
      <c r="E83" s="377"/>
      <c r="F83" s="306">
        <v>18461.599999999999</v>
      </c>
      <c r="G83" s="306">
        <v>15619.19987</v>
      </c>
      <c r="H83" s="306">
        <v>24297.69</v>
      </c>
    </row>
    <row r="84" spans="1:8" ht="14.4" customHeight="1">
      <c r="A84" s="382"/>
      <c r="B84" s="125" t="s">
        <v>504</v>
      </c>
      <c r="C84" s="391"/>
      <c r="D84" s="339"/>
      <c r="E84" s="377"/>
      <c r="F84" s="306">
        <v>596</v>
      </c>
      <c r="G84" s="306">
        <v>784.1</v>
      </c>
      <c r="H84" s="306">
        <v>667.5</v>
      </c>
    </row>
    <row r="85" spans="1:8" ht="14.4" customHeight="1">
      <c r="A85" s="382"/>
      <c r="B85" s="125" t="s">
        <v>505</v>
      </c>
      <c r="C85" s="391"/>
      <c r="D85" s="339"/>
      <c r="E85" s="377"/>
      <c r="F85" s="306">
        <v>79949.8</v>
      </c>
      <c r="G85" s="306">
        <v>59682.101600000002</v>
      </c>
      <c r="H85" s="306">
        <v>124991.72</v>
      </c>
    </row>
    <row r="86" spans="1:8" ht="14.4" customHeight="1">
      <c r="A86" s="382"/>
      <c r="B86" s="125" t="s">
        <v>506</v>
      </c>
      <c r="C86" s="391"/>
      <c r="D86" s="339"/>
      <c r="E86" s="377"/>
      <c r="F86" s="306">
        <v>16205.8</v>
      </c>
      <c r="G86" s="306">
        <v>20630.991999999998</v>
      </c>
      <c r="H86" s="306">
        <v>17949.900000000001</v>
      </c>
    </row>
    <row r="87" spans="1:8" ht="14.4" customHeight="1">
      <c r="A87" s="382"/>
      <c r="B87" s="125" t="s">
        <v>507</v>
      </c>
      <c r="C87" s="391"/>
      <c r="D87" s="339"/>
      <c r="E87" s="377"/>
      <c r="F87" s="306">
        <v>2669.9</v>
      </c>
      <c r="G87" s="306">
        <v>7186.39</v>
      </c>
      <c r="H87" s="306">
        <v>10894.8</v>
      </c>
    </row>
    <row r="88" spans="1:8" ht="14.4" customHeight="1">
      <c r="A88" s="382"/>
      <c r="B88" s="125" t="s">
        <v>508</v>
      </c>
      <c r="C88" s="391"/>
      <c r="D88" s="339"/>
      <c r="E88" s="377"/>
      <c r="F88" s="306">
        <v>259484.79999999999</v>
      </c>
      <c r="G88" s="306">
        <v>558051.81999999995</v>
      </c>
      <c r="H88" s="306">
        <v>1240608.29</v>
      </c>
    </row>
    <row r="89" spans="1:8" ht="14.4" customHeight="1">
      <c r="A89" s="382"/>
      <c r="B89" s="125" t="s">
        <v>509</v>
      </c>
      <c r="C89" s="391"/>
      <c r="D89" s="339"/>
      <c r="E89" s="377"/>
      <c r="F89" s="306">
        <v>261753.9</v>
      </c>
      <c r="G89" s="306">
        <v>1253659.996</v>
      </c>
      <c r="H89" s="306">
        <v>1312839.1980000001</v>
      </c>
    </row>
    <row r="90" spans="1:8" ht="14.4" customHeight="1">
      <c r="A90" s="382"/>
      <c r="B90" s="125" t="s">
        <v>510</v>
      </c>
      <c r="C90" s="391"/>
      <c r="D90" s="339"/>
      <c r="E90" s="377"/>
      <c r="F90" s="306">
        <v>695198.9</v>
      </c>
      <c r="G90" s="306">
        <v>757690.69</v>
      </c>
      <c r="H90" s="306">
        <v>693968.39500000002</v>
      </c>
    </row>
    <row r="91" spans="1:8" ht="14.4" customHeight="1">
      <c r="A91" s="382"/>
      <c r="B91" s="125" t="s">
        <v>511</v>
      </c>
      <c r="C91" s="391"/>
      <c r="D91" s="339"/>
      <c r="E91" s="377"/>
      <c r="F91" s="306">
        <v>628.6</v>
      </c>
      <c r="G91" s="306">
        <v>7463.29</v>
      </c>
      <c r="H91" s="306">
        <v>105461.49</v>
      </c>
    </row>
    <row r="92" spans="1:8" ht="14.4" customHeight="1">
      <c r="A92" s="382"/>
      <c r="B92" s="125" t="s">
        <v>512</v>
      </c>
      <c r="C92" s="391"/>
      <c r="D92" s="339"/>
      <c r="E92" s="377"/>
      <c r="F92" s="306">
        <v>39780</v>
      </c>
      <c r="G92" s="306">
        <v>117830.1</v>
      </c>
      <c r="H92" s="306">
        <v>117974.8</v>
      </c>
    </row>
    <row r="93" spans="1:8" ht="14.4" customHeight="1">
      <c r="A93" s="382"/>
      <c r="B93" s="125" t="s">
        <v>513</v>
      </c>
      <c r="C93" s="391"/>
      <c r="D93" s="339"/>
      <c r="E93" s="377"/>
      <c r="F93" s="306">
        <v>29775.4</v>
      </c>
      <c r="G93" s="306">
        <v>425720.5</v>
      </c>
      <c r="H93" s="306">
        <v>203635.8</v>
      </c>
    </row>
    <row r="94" spans="1:8" ht="14.4" customHeight="1">
      <c r="A94" s="382"/>
      <c r="B94" s="125" t="s">
        <v>514</v>
      </c>
      <c r="C94" s="391"/>
      <c r="D94" s="339"/>
      <c r="E94" s="377"/>
      <c r="F94" s="306">
        <v>200505.60000000001</v>
      </c>
      <c r="G94" s="306">
        <v>452100.79979999998</v>
      </c>
      <c r="H94" s="306">
        <v>204603.39</v>
      </c>
    </row>
    <row r="95" spans="1:8" ht="14.4" customHeight="1">
      <c r="A95" s="382"/>
      <c r="B95" s="125" t="s">
        <v>515</v>
      </c>
      <c r="C95" s="391"/>
      <c r="D95" s="339"/>
      <c r="E95" s="377"/>
      <c r="F95" s="306">
        <v>731.1</v>
      </c>
      <c r="G95" s="306">
        <v>11093.8</v>
      </c>
      <c r="H95" s="306">
        <v>8339.09</v>
      </c>
    </row>
    <row r="96" spans="1:8" ht="14.4" customHeight="1">
      <c r="A96" s="382"/>
      <c r="B96" s="125" t="s">
        <v>516</v>
      </c>
      <c r="C96" s="391"/>
      <c r="D96" s="339"/>
      <c r="E96" s="377"/>
      <c r="F96" s="306">
        <v>0</v>
      </c>
      <c r="G96" s="306">
        <v>0</v>
      </c>
      <c r="H96" s="306">
        <v>3378.5</v>
      </c>
    </row>
    <row r="97" spans="1:8" ht="14.4" customHeight="1">
      <c r="A97" s="382"/>
      <c r="B97" s="125" t="s">
        <v>517</v>
      </c>
      <c r="C97" s="391"/>
      <c r="D97" s="339"/>
      <c r="E97" s="377"/>
      <c r="F97" s="306">
        <v>8015.9</v>
      </c>
      <c r="G97" s="306">
        <v>24142</v>
      </c>
      <c r="H97" s="306">
        <v>15565.29</v>
      </c>
    </row>
    <row r="98" spans="1:8" ht="14.4" customHeight="1">
      <c r="A98" s="382"/>
      <c r="B98" s="125" t="s">
        <v>518</v>
      </c>
      <c r="C98" s="391"/>
      <c r="D98" s="339"/>
      <c r="E98" s="377"/>
      <c r="F98" s="306">
        <v>705425.7</v>
      </c>
      <c r="G98" s="306">
        <v>692806.59</v>
      </c>
      <c r="H98" s="306">
        <v>633835.99300000002</v>
      </c>
    </row>
    <row r="99" spans="1:8" ht="14.4" customHeight="1">
      <c r="A99" s="382"/>
      <c r="B99" s="125" t="s">
        <v>519</v>
      </c>
      <c r="C99" s="391"/>
      <c r="D99" s="339"/>
      <c r="E99" s="377"/>
      <c r="F99" s="306">
        <v>1349.2</v>
      </c>
      <c r="G99" s="306">
        <v>5165.99</v>
      </c>
      <c r="H99" s="306">
        <v>15324.2</v>
      </c>
    </row>
    <row r="100" spans="1:8" ht="14.4" customHeight="1">
      <c r="A100" s="382"/>
      <c r="B100" s="125" t="s">
        <v>520</v>
      </c>
      <c r="C100" s="391"/>
      <c r="D100" s="339"/>
      <c r="E100" s="377"/>
      <c r="F100" s="306">
        <v>1595</v>
      </c>
      <c r="G100" s="306">
        <v>3675.29</v>
      </c>
      <c r="H100" s="306">
        <v>0</v>
      </c>
    </row>
    <row r="101" spans="1:8" ht="14.4" customHeight="1">
      <c r="A101" s="382"/>
      <c r="B101" s="125" t="s">
        <v>521</v>
      </c>
      <c r="C101" s="391"/>
      <c r="D101" s="339"/>
      <c r="E101" s="377"/>
      <c r="F101" s="306">
        <v>8662.5</v>
      </c>
      <c r="G101" s="306">
        <v>48468.89</v>
      </c>
      <c r="H101" s="306">
        <v>21505.89</v>
      </c>
    </row>
    <row r="102" spans="1:8" ht="14.4" customHeight="1">
      <c r="A102" s="382"/>
      <c r="B102" s="125" t="s">
        <v>522</v>
      </c>
      <c r="C102" s="391"/>
      <c r="D102" s="339"/>
      <c r="E102" s="377"/>
      <c r="F102" s="306">
        <v>110081.9</v>
      </c>
      <c r="G102" s="306">
        <v>291182.59999999998</v>
      </c>
      <c r="H102" s="306">
        <v>270839</v>
      </c>
    </row>
    <row r="103" spans="1:8" ht="14.4" customHeight="1">
      <c r="A103" s="382"/>
      <c r="B103" s="125" t="s">
        <v>523</v>
      </c>
      <c r="C103" s="391"/>
      <c r="D103" s="339"/>
      <c r="E103" s="377"/>
      <c r="F103" s="306">
        <v>49.8</v>
      </c>
      <c r="G103" s="306">
        <v>35</v>
      </c>
      <c r="H103" s="306">
        <v>42.7</v>
      </c>
    </row>
    <row r="104" spans="1:8" ht="14.4" customHeight="1">
      <c r="A104" s="382"/>
      <c r="B104" s="263" t="s">
        <v>524</v>
      </c>
      <c r="C104" s="391"/>
      <c r="D104" s="339"/>
      <c r="E104" s="377"/>
      <c r="F104" s="307">
        <v>2083.5</v>
      </c>
      <c r="G104" s="307">
        <v>5092.6899999999996</v>
      </c>
      <c r="H104" s="307">
        <v>32088.69</v>
      </c>
    </row>
    <row r="105" spans="1:8" ht="14.4" customHeight="1">
      <c r="A105" s="382"/>
      <c r="B105" s="263" t="s">
        <v>525</v>
      </c>
      <c r="C105" s="391"/>
      <c r="D105" s="339"/>
      <c r="E105" s="377"/>
      <c r="F105" s="307">
        <v>920.6</v>
      </c>
      <c r="G105" s="307">
        <v>2270.89</v>
      </c>
      <c r="H105" s="307">
        <v>1460.1</v>
      </c>
    </row>
    <row r="106" spans="1:8" ht="14.4" customHeight="1">
      <c r="A106" s="382"/>
      <c r="B106" s="263" t="s">
        <v>526</v>
      </c>
      <c r="C106" s="391"/>
      <c r="D106" s="339"/>
      <c r="E106" s="377"/>
      <c r="F106" s="307">
        <v>0</v>
      </c>
      <c r="G106" s="307">
        <v>0</v>
      </c>
      <c r="H106" s="307">
        <v>126787.2</v>
      </c>
    </row>
    <row r="107" spans="1:8" ht="15" customHeight="1" thickBot="1">
      <c r="A107" s="389"/>
      <c r="B107" s="260" t="s">
        <v>527</v>
      </c>
      <c r="C107" s="391"/>
      <c r="D107" s="339"/>
      <c r="E107" s="379"/>
      <c r="F107" s="308">
        <v>149323.79999999999</v>
      </c>
      <c r="G107" s="308">
        <v>226040.79</v>
      </c>
      <c r="H107" s="308">
        <v>725708.402</v>
      </c>
    </row>
    <row r="108" spans="1:8" ht="14.4" customHeight="1" thickTop="1">
      <c r="A108" s="382" t="s">
        <v>223</v>
      </c>
      <c r="B108" s="125" t="s">
        <v>491</v>
      </c>
      <c r="C108" s="391"/>
      <c r="D108" s="339"/>
      <c r="E108" s="377" t="s">
        <v>185</v>
      </c>
      <c r="F108" s="19">
        <v>4.6086956521739131</v>
      </c>
      <c r="G108" s="19">
        <v>5.3913043478260878</v>
      </c>
      <c r="H108" s="19">
        <v>14.911829443901734</v>
      </c>
    </row>
    <row r="109" spans="1:8" ht="14.4" customHeight="1">
      <c r="A109" s="382"/>
      <c r="B109" s="125" t="s">
        <v>492</v>
      </c>
      <c r="C109" s="391"/>
      <c r="D109" s="339"/>
      <c r="E109" s="377"/>
      <c r="F109" s="19">
        <v>0.87014515496273048</v>
      </c>
      <c r="G109" s="19">
        <v>0.92690527558038749</v>
      </c>
      <c r="H109" s="19">
        <v>7.6714802979788477</v>
      </c>
    </row>
    <row r="110" spans="1:8" ht="14.4" customHeight="1">
      <c r="A110" s="382"/>
      <c r="B110" s="125" t="s">
        <v>493</v>
      </c>
      <c r="C110" s="391"/>
      <c r="D110" s="339"/>
      <c r="E110" s="377"/>
      <c r="F110" s="19">
        <v>9.2758057148657578</v>
      </c>
      <c r="G110" s="19">
        <v>8.738727869178943</v>
      </c>
      <c r="H110" s="19">
        <v>6.7591514816363416</v>
      </c>
    </row>
    <row r="111" spans="1:8" ht="14.4" customHeight="1">
      <c r="A111" s="382"/>
      <c r="B111" s="125" t="s">
        <v>494</v>
      </c>
      <c r="C111" s="391"/>
      <c r="D111" s="339"/>
      <c r="E111" s="377"/>
      <c r="F111" s="19">
        <v>0</v>
      </c>
      <c r="G111" s="19">
        <v>0</v>
      </c>
      <c r="H111" s="19">
        <v>16.529992441707403</v>
      </c>
    </row>
    <row r="112" spans="1:8" ht="14.4" customHeight="1">
      <c r="A112" s="382"/>
      <c r="B112" s="125" t="s">
        <v>495</v>
      </c>
      <c r="C112" s="391"/>
      <c r="D112" s="339"/>
      <c r="E112" s="377"/>
      <c r="F112" s="19">
        <v>0.53521126760563376</v>
      </c>
      <c r="G112" s="19">
        <v>0.31190969782150391</v>
      </c>
      <c r="H112" s="19">
        <v>0.48205948133470616</v>
      </c>
    </row>
    <row r="113" spans="1:8" ht="14.4" customHeight="1">
      <c r="A113" s="382"/>
      <c r="B113" s="125" t="s">
        <v>496</v>
      </c>
      <c r="C113" s="391"/>
      <c r="D113" s="339"/>
      <c r="E113" s="377"/>
      <c r="F113" s="19">
        <v>0</v>
      </c>
      <c r="G113" s="19">
        <v>0</v>
      </c>
      <c r="H113" s="19">
        <v>3.1664712778429078</v>
      </c>
    </row>
    <row r="114" spans="1:8" ht="14.4" customHeight="1">
      <c r="A114" s="382"/>
      <c r="B114" s="125" t="s">
        <v>497</v>
      </c>
      <c r="C114" s="391"/>
      <c r="D114" s="339"/>
      <c r="E114" s="377"/>
      <c r="F114" s="19">
        <v>1.0611645977793127</v>
      </c>
      <c r="G114" s="19">
        <v>1.1303885201960053</v>
      </c>
      <c r="H114" s="19">
        <v>1.0240780968846832</v>
      </c>
    </row>
    <row r="115" spans="1:8" ht="14.4" customHeight="1">
      <c r="A115" s="382"/>
      <c r="B115" s="125" t="s">
        <v>498</v>
      </c>
      <c r="C115" s="391"/>
      <c r="D115" s="339"/>
      <c r="E115" s="377"/>
      <c r="F115" s="19">
        <v>0.41577863460465703</v>
      </c>
      <c r="G115" s="19">
        <v>0.43351747351480019</v>
      </c>
      <c r="H115" s="19">
        <v>0.51524863623996009</v>
      </c>
    </row>
    <row r="116" spans="1:8" ht="14.4" customHeight="1">
      <c r="A116" s="382"/>
      <c r="B116" s="125" t="s">
        <v>499</v>
      </c>
      <c r="C116" s="391"/>
      <c r="D116" s="339"/>
      <c r="E116" s="377"/>
      <c r="F116" s="19">
        <v>0.99806886823359309</v>
      </c>
      <c r="G116" s="19">
        <v>0.76107152553449331</v>
      </c>
      <c r="H116" s="19">
        <v>1.0877384344500396</v>
      </c>
    </row>
    <row r="117" spans="1:8" ht="14.4" customHeight="1">
      <c r="A117" s="382"/>
      <c r="B117" s="125" t="s">
        <v>500</v>
      </c>
      <c r="C117" s="391"/>
      <c r="D117" s="339"/>
      <c r="E117" s="377"/>
      <c r="F117" s="19">
        <v>2.1861678889452025</v>
      </c>
      <c r="G117" s="19">
        <v>2.5693073051565967</v>
      </c>
      <c r="H117" s="19">
        <v>2.796300932850754</v>
      </c>
    </row>
    <row r="118" spans="1:8" ht="14.4" customHeight="1">
      <c r="A118" s="382"/>
      <c r="B118" s="125" t="s">
        <v>501</v>
      </c>
      <c r="C118" s="391"/>
      <c r="D118" s="339"/>
      <c r="E118" s="377"/>
      <c r="F118" s="19">
        <v>2.9999999999999996</v>
      </c>
      <c r="G118" s="19">
        <v>0</v>
      </c>
      <c r="H118" s="19">
        <v>5.5010766212205056</v>
      </c>
    </row>
    <row r="119" spans="1:8" ht="14.4" customHeight="1">
      <c r="A119" s="382"/>
      <c r="B119" s="125" t="s">
        <v>502</v>
      </c>
      <c r="C119" s="391"/>
      <c r="D119" s="339"/>
      <c r="E119" s="377"/>
      <c r="F119" s="19">
        <v>0</v>
      </c>
      <c r="G119" s="19">
        <v>0</v>
      </c>
      <c r="H119" s="19">
        <v>24.318707241343017</v>
      </c>
    </row>
    <row r="120" spans="1:8" ht="14.4" customHeight="1">
      <c r="A120" s="382"/>
      <c r="B120" s="125" t="s">
        <v>503</v>
      </c>
      <c r="C120" s="391"/>
      <c r="D120" s="339"/>
      <c r="E120" s="377"/>
      <c r="F120" s="19">
        <v>0.64739381697806198</v>
      </c>
      <c r="G120" s="19">
        <v>0.73912898840142149</v>
      </c>
      <c r="H120" s="19">
        <v>0.75654614747513749</v>
      </c>
    </row>
    <row r="121" spans="1:8" ht="14.4" customHeight="1">
      <c r="A121" s="382"/>
      <c r="B121" s="125" t="s">
        <v>504</v>
      </c>
      <c r="C121" s="391"/>
      <c r="D121" s="339"/>
      <c r="E121" s="377"/>
      <c r="F121" s="19">
        <v>0.58225869480265724</v>
      </c>
      <c r="G121" s="19">
        <v>0.57067373124986354</v>
      </c>
      <c r="H121" s="19">
        <v>0.6979297365119197</v>
      </c>
    </row>
    <row r="122" spans="1:8" ht="14.4" customHeight="1">
      <c r="A122" s="382"/>
      <c r="B122" s="125" t="s">
        <v>505</v>
      </c>
      <c r="C122" s="391"/>
      <c r="D122" s="339"/>
      <c r="E122" s="377"/>
      <c r="F122" s="19">
        <v>2.602430894626512</v>
      </c>
      <c r="G122" s="19">
        <v>2.8369658463776246</v>
      </c>
      <c r="H122" s="19">
        <v>2.6654897927369765</v>
      </c>
    </row>
    <row r="123" spans="1:8" ht="14.4" customHeight="1">
      <c r="A123" s="382"/>
      <c r="B123" s="125" t="s">
        <v>506</v>
      </c>
      <c r="C123" s="391"/>
      <c r="D123" s="339"/>
      <c r="E123" s="377"/>
      <c r="F123" s="19">
        <v>0.73995370095565982</v>
      </c>
      <c r="G123" s="19">
        <v>0.73901707932141214</v>
      </c>
      <c r="H123" s="19">
        <v>0.67378998656166245</v>
      </c>
    </row>
    <row r="124" spans="1:8" ht="14.4" customHeight="1">
      <c r="A124" s="382"/>
      <c r="B124" s="125" t="s">
        <v>507</v>
      </c>
      <c r="C124" s="391"/>
      <c r="D124" s="339"/>
      <c r="E124" s="377"/>
      <c r="F124" s="19">
        <v>1.5072259229987581</v>
      </c>
      <c r="G124" s="19">
        <v>1.6517437063154048</v>
      </c>
      <c r="H124" s="19">
        <v>1.7307921438545821</v>
      </c>
    </row>
    <row r="125" spans="1:8" ht="14.4" customHeight="1">
      <c r="A125" s="382"/>
      <c r="B125" s="125" t="s">
        <v>508</v>
      </c>
      <c r="C125" s="391"/>
      <c r="D125" s="339"/>
      <c r="E125" s="377"/>
      <c r="F125" s="19">
        <v>8.8991439859525894</v>
      </c>
      <c r="G125" s="19">
        <v>13.818636588748017</v>
      </c>
      <c r="H125" s="19">
        <v>10.792337109089218</v>
      </c>
    </row>
    <row r="126" spans="1:8" ht="14.4" customHeight="1">
      <c r="A126" s="382"/>
      <c r="B126" s="125" t="s">
        <v>509</v>
      </c>
      <c r="C126" s="391"/>
      <c r="D126" s="339"/>
      <c r="E126" s="377"/>
      <c r="F126" s="19">
        <v>6.797549023426849</v>
      </c>
      <c r="G126" s="19">
        <v>10.91794001847496</v>
      </c>
      <c r="H126" s="19">
        <v>8.5649353352989213</v>
      </c>
    </row>
    <row r="127" spans="1:8" ht="14.4" customHeight="1">
      <c r="A127" s="382"/>
      <c r="B127" s="125" t="s">
        <v>510</v>
      </c>
      <c r="C127" s="391"/>
      <c r="D127" s="339"/>
      <c r="E127" s="377"/>
      <c r="F127" s="19">
        <v>0.86725296403068874</v>
      </c>
      <c r="G127" s="19">
        <v>0.9301319436055927</v>
      </c>
      <c r="H127" s="19">
        <v>0.95903994982693586</v>
      </c>
    </row>
    <row r="128" spans="1:8" ht="14.4" customHeight="1">
      <c r="A128" s="382"/>
      <c r="B128" s="125" t="s">
        <v>511</v>
      </c>
      <c r="C128" s="391"/>
      <c r="D128" s="339"/>
      <c r="E128" s="377"/>
      <c r="F128" s="19">
        <v>2.7036559139784946</v>
      </c>
      <c r="G128" s="19">
        <v>2.4380355352003633</v>
      </c>
      <c r="H128" s="19">
        <v>3.1672019340500932</v>
      </c>
    </row>
    <row r="129" spans="1:8" ht="14.4" customHeight="1">
      <c r="A129" s="382"/>
      <c r="B129" s="125" t="s">
        <v>512</v>
      </c>
      <c r="C129" s="391"/>
      <c r="D129" s="339"/>
      <c r="E129" s="377"/>
      <c r="F129" s="19">
        <v>21.896845929432487</v>
      </c>
      <c r="G129" s="19">
        <v>21.479109701410916</v>
      </c>
      <c r="H129" s="19">
        <v>23.508027314989171</v>
      </c>
    </row>
    <row r="130" spans="1:8" ht="14.4" customHeight="1">
      <c r="A130" s="382"/>
      <c r="B130" s="125" t="s">
        <v>513</v>
      </c>
      <c r="C130" s="391"/>
      <c r="D130" s="339"/>
      <c r="E130" s="377"/>
      <c r="F130" s="19">
        <v>0.62320314789233544</v>
      </c>
      <c r="G130" s="19">
        <v>3.3123836646426335</v>
      </c>
      <c r="H130" s="19">
        <v>0.81751142046542591</v>
      </c>
    </row>
    <row r="131" spans="1:8" ht="14.4" customHeight="1">
      <c r="A131" s="382"/>
      <c r="B131" s="125" t="s">
        <v>514</v>
      </c>
      <c r="C131" s="391"/>
      <c r="D131" s="339"/>
      <c r="E131" s="377"/>
      <c r="F131" s="19">
        <v>1.767690517332581</v>
      </c>
      <c r="G131" s="19">
        <v>2.0997687973329593</v>
      </c>
      <c r="H131" s="19">
        <v>2.3512769026266866</v>
      </c>
    </row>
    <row r="132" spans="1:8" ht="14.4" customHeight="1">
      <c r="A132" s="382"/>
      <c r="B132" s="125" t="s">
        <v>515</v>
      </c>
      <c r="C132" s="391"/>
      <c r="D132" s="339"/>
      <c r="E132" s="377"/>
      <c r="F132" s="19">
        <v>0.17590587555940523</v>
      </c>
      <c r="G132" s="19">
        <v>0.13091960466145447</v>
      </c>
      <c r="H132" s="19">
        <v>0.10698753600318175</v>
      </c>
    </row>
    <row r="133" spans="1:8" ht="14.4" customHeight="1">
      <c r="A133" s="382"/>
      <c r="B133" s="125" t="s">
        <v>516</v>
      </c>
      <c r="C133" s="391"/>
      <c r="D133" s="339"/>
      <c r="E133" s="377"/>
      <c r="F133" s="19">
        <v>0</v>
      </c>
      <c r="G133" s="19">
        <v>0</v>
      </c>
      <c r="H133" s="19">
        <v>1.6335460787157916</v>
      </c>
    </row>
    <row r="134" spans="1:8" ht="14.4" customHeight="1">
      <c r="A134" s="382"/>
      <c r="B134" s="125" t="s">
        <v>517</v>
      </c>
      <c r="C134" s="391"/>
      <c r="D134" s="339"/>
      <c r="E134" s="377"/>
      <c r="F134" s="19">
        <v>0.47287818633379153</v>
      </c>
      <c r="G134" s="19">
        <v>0.47022673218131483</v>
      </c>
      <c r="H134" s="19">
        <v>0.52128609416130267</v>
      </c>
    </row>
    <row r="135" spans="1:8" ht="14.4" customHeight="1">
      <c r="A135" s="382"/>
      <c r="B135" s="125" t="s">
        <v>518</v>
      </c>
      <c r="C135" s="391"/>
      <c r="D135" s="339"/>
      <c r="E135" s="377"/>
      <c r="F135" s="19">
        <v>0.93644996706481809</v>
      </c>
      <c r="G135" s="19">
        <v>0.86972686342041183</v>
      </c>
      <c r="H135" s="19">
        <v>1.0723021754588027</v>
      </c>
    </row>
    <row r="136" spans="1:8" ht="14.4" customHeight="1">
      <c r="A136" s="382"/>
      <c r="B136" s="125" t="s">
        <v>519</v>
      </c>
      <c r="C136" s="391"/>
      <c r="D136" s="339"/>
      <c r="E136" s="377"/>
      <c r="F136" s="19">
        <v>0.75912901592302939</v>
      </c>
      <c r="G136" s="19">
        <v>0.56966940143796041</v>
      </c>
      <c r="H136" s="19">
        <v>0.71952708286379696</v>
      </c>
    </row>
    <row r="137" spans="1:8" ht="14.4" customHeight="1">
      <c r="A137" s="382"/>
      <c r="B137" s="125" t="s">
        <v>520</v>
      </c>
      <c r="C137" s="391"/>
      <c r="D137" s="339"/>
      <c r="E137" s="377"/>
      <c r="F137" s="19">
        <v>11</v>
      </c>
      <c r="G137" s="19">
        <v>14.179359567901235</v>
      </c>
      <c r="H137" s="19">
        <v>0</v>
      </c>
    </row>
    <row r="138" spans="1:8" ht="14.4" customHeight="1">
      <c r="A138" s="382"/>
      <c r="B138" s="125" t="s">
        <v>521</v>
      </c>
      <c r="C138" s="391"/>
      <c r="D138" s="339"/>
      <c r="E138" s="377"/>
      <c r="F138" s="19">
        <v>40.55477528089888</v>
      </c>
      <c r="G138" s="19">
        <v>45.314968212415863</v>
      </c>
      <c r="H138" s="19">
        <v>24.552905582829091</v>
      </c>
    </row>
    <row r="139" spans="1:8" ht="14.4" customHeight="1">
      <c r="A139" s="382"/>
      <c r="B139" s="125" t="s">
        <v>522</v>
      </c>
      <c r="C139" s="391"/>
      <c r="D139" s="339"/>
      <c r="E139" s="377"/>
      <c r="F139" s="19">
        <v>15.526580064598937</v>
      </c>
      <c r="G139" s="19">
        <v>14.104130742254856</v>
      </c>
      <c r="H139" s="19">
        <v>13.503135237759061</v>
      </c>
    </row>
    <row r="140" spans="1:8" ht="14.4" customHeight="1">
      <c r="A140" s="382"/>
      <c r="B140" s="125" t="s">
        <v>523</v>
      </c>
      <c r="C140" s="391"/>
      <c r="D140" s="339"/>
      <c r="E140" s="377"/>
      <c r="F140" s="19">
        <v>1</v>
      </c>
      <c r="G140" s="19">
        <v>0.99715099715099709</v>
      </c>
      <c r="H140" s="19">
        <v>0.8088653154006441</v>
      </c>
    </row>
    <row r="141" spans="1:8" ht="14.4" customHeight="1">
      <c r="A141" s="382"/>
      <c r="B141" s="263" t="s">
        <v>524</v>
      </c>
      <c r="C141" s="391"/>
      <c r="D141" s="339"/>
      <c r="E141" s="377"/>
      <c r="F141" s="19">
        <v>4.7721026110856615</v>
      </c>
      <c r="G141" s="19">
        <v>5.0527730925687067</v>
      </c>
      <c r="H141" s="19">
        <v>4.2949272549623219</v>
      </c>
    </row>
    <row r="142" spans="1:8" ht="14.4" customHeight="1">
      <c r="A142" s="382"/>
      <c r="B142" s="263" t="s">
        <v>525</v>
      </c>
      <c r="C142" s="391"/>
      <c r="D142" s="339"/>
      <c r="E142" s="377"/>
      <c r="F142" s="19">
        <v>0.7928688312806822</v>
      </c>
      <c r="G142" s="19">
        <v>0.85413547974574044</v>
      </c>
      <c r="H142" s="19">
        <v>0.93590154477277099</v>
      </c>
    </row>
    <row r="143" spans="1:8" ht="14.4" customHeight="1">
      <c r="A143" s="382"/>
      <c r="B143" s="263" t="s">
        <v>526</v>
      </c>
      <c r="C143" s="391"/>
      <c r="D143" s="339"/>
      <c r="E143" s="377"/>
      <c r="F143" s="19">
        <v>0</v>
      </c>
      <c r="G143" s="19">
        <v>0</v>
      </c>
      <c r="H143" s="19">
        <v>17.300566282322439</v>
      </c>
    </row>
    <row r="144" spans="1:8" ht="15" customHeight="1" thickBot="1">
      <c r="A144" s="389"/>
      <c r="B144" s="260" t="s">
        <v>527</v>
      </c>
      <c r="C144" s="441"/>
      <c r="D144" s="440"/>
      <c r="E144" s="379"/>
      <c r="F144" s="266">
        <v>8.0557500687839525</v>
      </c>
      <c r="G144" s="266">
        <v>7.7801569518302447</v>
      </c>
      <c r="H144" s="266">
        <v>5.7798935148386317</v>
      </c>
    </row>
    <row r="145" spans="1:8" ht="14.4" thickTop="1"/>
    <row r="147" spans="1:8" ht="14.4" thickBot="1">
      <c r="A147" s="1" t="s">
        <v>224</v>
      </c>
    </row>
    <row r="148" spans="1:8" ht="15.6">
      <c r="A148" s="303"/>
      <c r="B148" s="4" t="s">
        <v>196</v>
      </c>
      <c r="C148" s="4" t="s">
        <v>20</v>
      </c>
      <c r="D148" s="101" t="s">
        <v>21</v>
      </c>
      <c r="E148" s="4" t="s">
        <v>22</v>
      </c>
      <c r="F148" s="4">
        <v>2010</v>
      </c>
      <c r="G148" s="4">
        <v>2017</v>
      </c>
      <c r="H148" s="4">
        <v>2020</v>
      </c>
    </row>
    <row r="149" spans="1:8" ht="15.6" customHeight="1">
      <c r="A149" s="382" t="s">
        <v>197</v>
      </c>
      <c r="B149" s="125" t="s">
        <v>491</v>
      </c>
      <c r="C149" s="391"/>
      <c r="D149" s="339"/>
      <c r="E149" s="377" t="s">
        <v>171</v>
      </c>
      <c r="F149" s="309">
        <v>285.2</v>
      </c>
      <c r="G149" s="309">
        <v>307.49</v>
      </c>
      <c r="H149" s="309">
        <v>0</v>
      </c>
    </row>
    <row r="150" spans="1:8" ht="15.6" customHeight="1">
      <c r="A150" s="382"/>
      <c r="B150" s="125" t="s">
        <v>499</v>
      </c>
      <c r="C150" s="391"/>
      <c r="D150" s="339"/>
      <c r="E150" s="377"/>
      <c r="F150" s="309">
        <v>526.20000000000005</v>
      </c>
      <c r="G150" s="309">
        <v>0</v>
      </c>
      <c r="H150" s="309">
        <v>1961.9</v>
      </c>
    </row>
    <row r="151" spans="1:8" ht="15.6" customHeight="1">
      <c r="A151" s="382"/>
      <c r="B151" s="125" t="s">
        <v>500</v>
      </c>
      <c r="C151" s="391"/>
      <c r="D151" s="339"/>
      <c r="E151" s="377"/>
      <c r="F151" s="309">
        <v>63.9</v>
      </c>
      <c r="G151" s="309">
        <v>66.8</v>
      </c>
      <c r="H151" s="309">
        <v>0</v>
      </c>
    </row>
    <row r="152" spans="1:8" ht="15.6" customHeight="1">
      <c r="A152" s="382"/>
      <c r="B152" s="125" t="s">
        <v>503</v>
      </c>
      <c r="C152" s="391"/>
      <c r="D152" s="339"/>
      <c r="E152" s="377"/>
      <c r="F152" s="309">
        <v>7.6</v>
      </c>
      <c r="G152" s="309">
        <v>5.7</v>
      </c>
      <c r="H152" s="309">
        <v>0</v>
      </c>
    </row>
    <row r="153" spans="1:8" ht="15.6" customHeight="1">
      <c r="A153" s="382"/>
      <c r="B153" s="125" t="s">
        <v>509</v>
      </c>
      <c r="C153" s="391"/>
      <c r="D153" s="339"/>
      <c r="E153" s="377"/>
      <c r="F153" s="309">
        <v>266.89999999999998</v>
      </c>
      <c r="G153" s="309">
        <v>243</v>
      </c>
      <c r="H153" s="309">
        <v>3</v>
      </c>
    </row>
    <row r="154" spans="1:8" ht="15.6" customHeight="1">
      <c r="A154" s="382"/>
      <c r="B154" s="125" t="s">
        <v>510</v>
      </c>
      <c r="C154" s="391"/>
      <c r="D154" s="339"/>
      <c r="E154" s="377"/>
      <c r="F154" s="309">
        <v>0</v>
      </c>
      <c r="G154" s="309">
        <v>11924.4</v>
      </c>
      <c r="H154" s="309">
        <v>2239.1</v>
      </c>
    </row>
    <row r="155" spans="1:8" ht="15.6" customHeight="1">
      <c r="A155" s="382"/>
      <c r="B155" s="125" t="s">
        <v>512</v>
      </c>
      <c r="C155" s="391"/>
      <c r="D155" s="339"/>
      <c r="E155" s="377"/>
      <c r="F155" s="309">
        <v>0</v>
      </c>
      <c r="G155" s="309">
        <v>0</v>
      </c>
      <c r="H155" s="309">
        <v>259.3</v>
      </c>
    </row>
    <row r="156" spans="1:8" ht="15.6" customHeight="1">
      <c r="A156" s="382"/>
      <c r="B156" s="125" t="s">
        <v>513</v>
      </c>
      <c r="C156" s="391"/>
      <c r="D156" s="339"/>
      <c r="E156" s="377"/>
      <c r="F156" s="309">
        <v>3.7</v>
      </c>
      <c r="G156" s="309">
        <v>4.5999999999999996</v>
      </c>
      <c r="H156" s="309">
        <v>0</v>
      </c>
    </row>
    <row r="157" spans="1:8" ht="15.6" customHeight="1">
      <c r="A157" s="382"/>
      <c r="B157" s="125" t="s">
        <v>514</v>
      </c>
      <c r="C157" s="391"/>
      <c r="D157" s="339"/>
      <c r="E157" s="377"/>
      <c r="F157" s="309">
        <v>57435.199999999997</v>
      </c>
      <c r="G157" s="309">
        <v>51196.7</v>
      </c>
      <c r="H157" s="309">
        <v>141817.1</v>
      </c>
    </row>
    <row r="158" spans="1:8" ht="15.6" customHeight="1">
      <c r="A158" s="382"/>
      <c r="B158" s="125" t="s">
        <v>528</v>
      </c>
      <c r="C158" s="391"/>
      <c r="D158" s="339"/>
      <c r="E158" s="377"/>
      <c r="F158" s="309">
        <v>2284.3000000000002</v>
      </c>
      <c r="G158" s="309">
        <v>0</v>
      </c>
      <c r="H158" s="309">
        <v>0</v>
      </c>
    </row>
    <row r="159" spans="1:8" ht="15.6" customHeight="1">
      <c r="A159" s="382"/>
      <c r="B159" s="125" t="s">
        <v>518</v>
      </c>
      <c r="C159" s="391"/>
      <c r="D159" s="339"/>
      <c r="E159" s="377"/>
      <c r="F159" s="309">
        <v>2158.4</v>
      </c>
      <c r="G159" s="309">
        <v>168.5</v>
      </c>
      <c r="H159" s="309">
        <v>2746.7</v>
      </c>
    </row>
    <row r="160" spans="1:8" ht="15.6" customHeight="1">
      <c r="A160" s="382"/>
      <c r="B160" s="125" t="s">
        <v>520</v>
      </c>
      <c r="C160" s="391"/>
      <c r="D160" s="339"/>
      <c r="E160" s="377"/>
      <c r="F160" s="309">
        <v>0</v>
      </c>
      <c r="G160" s="309">
        <v>0</v>
      </c>
      <c r="H160" s="309">
        <v>54</v>
      </c>
    </row>
    <row r="161" spans="1:8" ht="15.6" customHeight="1">
      <c r="A161" s="382"/>
      <c r="B161" s="125" t="s">
        <v>521</v>
      </c>
      <c r="C161" s="391"/>
      <c r="D161" s="339"/>
      <c r="E161" s="377"/>
      <c r="F161" s="309">
        <v>809.2</v>
      </c>
      <c r="G161" s="309">
        <v>557.9</v>
      </c>
      <c r="H161" s="309">
        <v>6171.5</v>
      </c>
    </row>
    <row r="162" spans="1:8" ht="15.6" customHeight="1">
      <c r="A162" s="382"/>
      <c r="B162" s="263" t="s">
        <v>524</v>
      </c>
      <c r="C162" s="391"/>
      <c r="D162" s="339"/>
      <c r="E162" s="381"/>
      <c r="F162" s="310">
        <v>42.7</v>
      </c>
      <c r="G162" s="310">
        <v>39.4</v>
      </c>
      <c r="H162" s="310">
        <v>10488.6</v>
      </c>
    </row>
    <row r="163" spans="1:8" ht="15.6" customHeight="1">
      <c r="A163" s="382"/>
      <c r="B163" s="263" t="s">
        <v>525</v>
      </c>
      <c r="C163" s="391"/>
      <c r="D163" s="339"/>
      <c r="E163" s="381"/>
      <c r="F163" s="310">
        <v>0.1</v>
      </c>
      <c r="G163" s="310">
        <v>0</v>
      </c>
      <c r="H163" s="310">
        <v>2.7</v>
      </c>
    </row>
    <row r="164" spans="1:8" ht="15.6" customHeight="1" thickBot="1">
      <c r="A164" s="386"/>
      <c r="B164" s="260" t="s">
        <v>529</v>
      </c>
      <c r="C164" s="391"/>
      <c r="D164" s="339"/>
      <c r="E164" s="378"/>
      <c r="F164" s="311">
        <v>17.600000000000001</v>
      </c>
      <c r="G164" s="311">
        <v>0</v>
      </c>
      <c r="H164" s="311">
        <v>195.5</v>
      </c>
    </row>
    <row r="165" spans="1:8" ht="15.6" customHeight="1">
      <c r="A165" s="382" t="s">
        <v>222</v>
      </c>
      <c r="B165" s="125" t="s">
        <v>491</v>
      </c>
      <c r="C165" s="391"/>
      <c r="D165" s="339"/>
      <c r="E165" s="369" t="s">
        <v>183</v>
      </c>
      <c r="F165" s="309">
        <v>11854.2</v>
      </c>
      <c r="G165" s="309">
        <v>13759.9</v>
      </c>
      <c r="H165" s="309">
        <v>0</v>
      </c>
    </row>
    <row r="166" spans="1:8" ht="15.6" customHeight="1">
      <c r="A166" s="382"/>
      <c r="B166" s="125" t="s">
        <v>499</v>
      </c>
      <c r="C166" s="391"/>
      <c r="D166" s="339"/>
      <c r="E166" s="377"/>
      <c r="F166" s="309">
        <v>857.9</v>
      </c>
      <c r="G166" s="309">
        <v>461.59</v>
      </c>
      <c r="H166" s="309">
        <v>3413.49</v>
      </c>
    </row>
    <row r="167" spans="1:8" ht="15.6" customHeight="1">
      <c r="A167" s="382"/>
      <c r="B167" s="125" t="s">
        <v>500</v>
      </c>
      <c r="C167" s="391"/>
      <c r="D167" s="339"/>
      <c r="E167" s="377"/>
      <c r="F167" s="309">
        <v>209.3</v>
      </c>
      <c r="G167" s="309">
        <v>242.89</v>
      </c>
      <c r="H167" s="309">
        <v>0</v>
      </c>
    </row>
    <row r="168" spans="1:8" ht="15.6" customHeight="1">
      <c r="A168" s="382"/>
      <c r="B168" s="125" t="s">
        <v>503</v>
      </c>
      <c r="C168" s="391"/>
      <c r="D168" s="339"/>
      <c r="E168" s="377"/>
      <c r="F168" s="309">
        <v>9.8000000000000007</v>
      </c>
      <c r="G168" s="309">
        <v>7.69</v>
      </c>
      <c r="H168" s="309">
        <v>0</v>
      </c>
    </row>
    <row r="169" spans="1:8" ht="15.6" customHeight="1">
      <c r="A169" s="382"/>
      <c r="B169" s="125" t="s">
        <v>509</v>
      </c>
      <c r="C169" s="391"/>
      <c r="D169" s="339"/>
      <c r="E169" s="377"/>
      <c r="F169" s="309">
        <v>3105.5</v>
      </c>
      <c r="G169" s="309">
        <v>3134.79</v>
      </c>
      <c r="H169" s="309">
        <v>41.3</v>
      </c>
    </row>
    <row r="170" spans="1:8" ht="15.6" customHeight="1">
      <c r="A170" s="382"/>
      <c r="B170" s="125" t="s">
        <v>510</v>
      </c>
      <c r="C170" s="391"/>
      <c r="D170" s="339"/>
      <c r="E170" s="377"/>
      <c r="F170" s="309">
        <v>4199.8999999999996</v>
      </c>
      <c r="G170" s="309">
        <v>21418.29</v>
      </c>
      <c r="H170" s="309">
        <v>5575.6</v>
      </c>
    </row>
    <row r="171" spans="1:8" ht="15.6" customHeight="1">
      <c r="A171" s="382"/>
      <c r="B171" s="125" t="s">
        <v>512</v>
      </c>
      <c r="C171" s="391"/>
      <c r="D171" s="339"/>
      <c r="E171" s="377"/>
      <c r="F171" s="309">
        <v>0</v>
      </c>
      <c r="G171" s="309">
        <v>0</v>
      </c>
      <c r="H171" s="309">
        <v>5841.1</v>
      </c>
    </row>
    <row r="172" spans="1:8" ht="15.6" customHeight="1">
      <c r="A172" s="382"/>
      <c r="B172" s="125" t="s">
        <v>513</v>
      </c>
      <c r="C172" s="391"/>
      <c r="D172" s="339"/>
      <c r="E172" s="377"/>
      <c r="F172" s="309">
        <v>4.3</v>
      </c>
      <c r="G172" s="309">
        <v>5.8</v>
      </c>
      <c r="H172" s="309">
        <v>0</v>
      </c>
    </row>
    <row r="173" spans="1:8" ht="15.6" customHeight="1">
      <c r="A173" s="382"/>
      <c r="B173" s="125" t="s">
        <v>514</v>
      </c>
      <c r="C173" s="391"/>
      <c r="D173" s="339"/>
      <c r="E173" s="377"/>
      <c r="F173" s="309">
        <v>173261.4</v>
      </c>
      <c r="G173" s="309">
        <v>167568.89000000001</v>
      </c>
      <c r="H173" s="309">
        <v>473832.89</v>
      </c>
    </row>
    <row r="174" spans="1:8" ht="15.6" customHeight="1">
      <c r="A174" s="382"/>
      <c r="B174" s="125" t="s">
        <v>528</v>
      </c>
      <c r="C174" s="391"/>
      <c r="D174" s="339"/>
      <c r="E174" s="377"/>
      <c r="F174" s="309">
        <v>0</v>
      </c>
      <c r="G174" s="309">
        <v>0</v>
      </c>
      <c r="H174" s="309">
        <v>0</v>
      </c>
    </row>
    <row r="175" spans="1:8" ht="15.6" customHeight="1">
      <c r="A175" s="382"/>
      <c r="B175" s="125" t="s">
        <v>518</v>
      </c>
      <c r="C175" s="391"/>
      <c r="D175" s="339"/>
      <c r="E175" s="377"/>
      <c r="F175" s="309">
        <v>4309.2</v>
      </c>
      <c r="G175" s="309">
        <v>301.49</v>
      </c>
      <c r="H175" s="309">
        <v>6871.4</v>
      </c>
    </row>
    <row r="176" spans="1:8" ht="15.6" customHeight="1">
      <c r="A176" s="382"/>
      <c r="B176" s="125" t="s">
        <v>520</v>
      </c>
      <c r="C176" s="391"/>
      <c r="D176" s="339"/>
      <c r="E176" s="377"/>
      <c r="F176" s="309">
        <v>0</v>
      </c>
      <c r="G176" s="309">
        <v>0</v>
      </c>
      <c r="H176" s="309">
        <v>818.1</v>
      </c>
    </row>
    <row r="177" spans="1:8" ht="15.6" customHeight="1">
      <c r="A177" s="382"/>
      <c r="B177" s="125" t="s">
        <v>521</v>
      </c>
      <c r="C177" s="391"/>
      <c r="D177" s="339"/>
      <c r="E177" s="377"/>
      <c r="F177" s="309">
        <v>75595.7</v>
      </c>
      <c r="G177" s="309">
        <v>59866.1</v>
      </c>
      <c r="H177" s="309">
        <v>557180.51</v>
      </c>
    </row>
    <row r="178" spans="1:8" ht="15.6" customHeight="1">
      <c r="A178" s="382"/>
      <c r="B178" s="263" t="s">
        <v>524</v>
      </c>
      <c r="C178" s="391"/>
      <c r="D178" s="339"/>
      <c r="E178" s="377"/>
      <c r="F178" s="310">
        <v>373</v>
      </c>
      <c r="G178" s="310">
        <v>352.89</v>
      </c>
      <c r="H178" s="310">
        <v>93509.596999999994</v>
      </c>
    </row>
    <row r="179" spans="1:8" ht="15.6" customHeight="1">
      <c r="A179" s="382"/>
      <c r="B179" s="263" t="s">
        <v>525</v>
      </c>
      <c r="C179" s="391"/>
      <c r="D179" s="339"/>
      <c r="E179" s="377"/>
      <c r="F179" s="310">
        <v>0.1</v>
      </c>
      <c r="G179" s="310">
        <v>0</v>
      </c>
      <c r="H179" s="310">
        <v>12.6</v>
      </c>
    </row>
    <row r="180" spans="1:8" ht="15.6" customHeight="1" thickBot="1">
      <c r="A180" s="386"/>
      <c r="B180" s="260" t="s">
        <v>529</v>
      </c>
      <c r="C180" s="391"/>
      <c r="D180" s="339"/>
      <c r="E180" s="378"/>
      <c r="F180" s="311">
        <v>56.5</v>
      </c>
      <c r="G180" s="311">
        <v>0</v>
      </c>
      <c r="H180" s="311">
        <v>666.9</v>
      </c>
    </row>
    <row r="181" spans="1:8" ht="15.6" customHeight="1">
      <c r="A181" s="382" t="s">
        <v>223</v>
      </c>
      <c r="B181" s="125" t="s">
        <v>491</v>
      </c>
      <c r="C181" s="391"/>
      <c r="D181" s="339"/>
      <c r="E181" s="377" t="s">
        <v>185</v>
      </c>
      <c r="F181" s="19">
        <v>41.564516129032263</v>
      </c>
      <c r="G181" s="19">
        <v>44.749097531627044</v>
      </c>
      <c r="H181" s="19">
        <v>0</v>
      </c>
    </row>
    <row r="182" spans="1:8" ht="15.6" customHeight="1">
      <c r="A182" s="382"/>
      <c r="B182" s="125" t="s">
        <v>499</v>
      </c>
      <c r="C182" s="391"/>
      <c r="D182" s="339"/>
      <c r="E182" s="377"/>
      <c r="F182" s="19">
        <v>1.6303686811098439</v>
      </c>
      <c r="G182" s="19">
        <v>0</v>
      </c>
      <c r="H182" s="19">
        <v>1.7398899026453947</v>
      </c>
    </row>
    <row r="183" spans="1:8" ht="15.6" customHeight="1">
      <c r="A183" s="382"/>
      <c r="B183" s="125" t="s">
        <v>500</v>
      </c>
      <c r="C183" s="391"/>
      <c r="D183" s="339"/>
      <c r="E183" s="377"/>
      <c r="F183" s="19">
        <v>3.2754303599374026</v>
      </c>
      <c r="G183" s="19">
        <v>3.636077844311377</v>
      </c>
      <c r="H183" s="19">
        <v>0</v>
      </c>
    </row>
    <row r="184" spans="1:8" ht="15.6" customHeight="1">
      <c r="A184" s="382"/>
      <c r="B184" s="125" t="s">
        <v>503</v>
      </c>
      <c r="C184" s="391"/>
      <c r="D184" s="339"/>
      <c r="E184" s="377"/>
      <c r="F184" s="19">
        <v>1.2894736842105265</v>
      </c>
      <c r="G184" s="19">
        <v>1.3491228070175438</v>
      </c>
      <c r="H184" s="19">
        <v>0</v>
      </c>
    </row>
    <row r="185" spans="1:8" ht="15.6" customHeight="1">
      <c r="A185" s="382"/>
      <c r="B185" s="125" t="s">
        <v>509</v>
      </c>
      <c r="C185" s="391"/>
      <c r="D185" s="339"/>
      <c r="E185" s="377"/>
      <c r="F185" s="19">
        <v>11.635443986511802</v>
      </c>
      <c r="G185" s="19">
        <v>12.90037037037037</v>
      </c>
      <c r="H185" s="19">
        <v>13.766666666666666</v>
      </c>
    </row>
    <row r="186" spans="1:8" ht="15.6" customHeight="1">
      <c r="A186" s="382"/>
      <c r="B186" s="125" t="s">
        <v>510</v>
      </c>
      <c r="C186" s="391"/>
      <c r="D186" s="339"/>
      <c r="E186" s="377"/>
      <c r="F186" s="19">
        <v>0</v>
      </c>
      <c r="G186" s="19">
        <v>1.7961733923719434</v>
      </c>
      <c r="H186" s="19">
        <v>2.4901076325309277</v>
      </c>
    </row>
    <row r="187" spans="1:8" ht="15.6" customHeight="1">
      <c r="A187" s="382"/>
      <c r="B187" s="125" t="s">
        <v>512</v>
      </c>
      <c r="C187" s="391"/>
      <c r="D187" s="339"/>
      <c r="E187" s="377"/>
      <c r="F187" s="19">
        <v>0</v>
      </c>
      <c r="G187" s="19">
        <v>0</v>
      </c>
      <c r="H187" s="19">
        <v>22.526417277284999</v>
      </c>
    </row>
    <row r="188" spans="1:8" ht="15.6" customHeight="1">
      <c r="A188" s="382"/>
      <c r="B188" s="125" t="s">
        <v>513</v>
      </c>
      <c r="C188" s="391"/>
      <c r="D188" s="339"/>
      <c r="E188" s="377"/>
      <c r="F188" s="19">
        <v>1.1621621621621621</v>
      </c>
      <c r="G188" s="19">
        <v>1.2608695652173914</v>
      </c>
      <c r="H188" s="19">
        <v>0</v>
      </c>
    </row>
    <row r="189" spans="1:8" ht="15.6" customHeight="1">
      <c r="A189" s="382"/>
      <c r="B189" s="125" t="s">
        <v>514</v>
      </c>
      <c r="C189" s="391"/>
      <c r="D189" s="339"/>
      <c r="E189" s="377"/>
      <c r="F189" s="19">
        <v>3.0166413627879769</v>
      </c>
      <c r="G189" s="19">
        <v>3.273040840522925</v>
      </c>
      <c r="H189" s="19">
        <v>3.3411548395785839</v>
      </c>
    </row>
    <row r="190" spans="1:8" ht="15.6" customHeight="1">
      <c r="A190" s="382"/>
      <c r="B190" s="125" t="s">
        <v>528</v>
      </c>
      <c r="C190" s="391"/>
      <c r="D190" s="339"/>
      <c r="E190" s="377"/>
      <c r="F190" s="19">
        <v>0</v>
      </c>
      <c r="G190" s="19">
        <v>0</v>
      </c>
      <c r="H190" s="19">
        <v>0</v>
      </c>
    </row>
    <row r="191" spans="1:8" ht="15.6" customHeight="1">
      <c r="A191" s="382"/>
      <c r="B191" s="125" t="s">
        <v>518</v>
      </c>
      <c r="C191" s="391"/>
      <c r="D191" s="339"/>
      <c r="E191" s="377"/>
      <c r="F191" s="19">
        <v>1.9964788732394365</v>
      </c>
      <c r="G191" s="19">
        <v>1.7892581602373887</v>
      </c>
      <c r="H191" s="19">
        <v>2.5016929406196526</v>
      </c>
    </row>
    <row r="192" spans="1:8" ht="15.6" customHeight="1">
      <c r="A192" s="382"/>
      <c r="B192" s="125" t="s">
        <v>520</v>
      </c>
      <c r="C192" s="391"/>
      <c r="D192" s="339"/>
      <c r="E192" s="377"/>
      <c r="F192" s="19">
        <v>0</v>
      </c>
      <c r="G192" s="19">
        <v>0</v>
      </c>
      <c r="H192" s="19">
        <v>15.15</v>
      </c>
    </row>
    <row r="193" spans="1:12" ht="15.6" customHeight="1">
      <c r="A193" s="382"/>
      <c r="B193" s="125" t="s">
        <v>521</v>
      </c>
      <c r="C193" s="391"/>
      <c r="D193" s="339"/>
      <c r="E193" s="377"/>
      <c r="F193" s="19">
        <v>93.420291646070183</v>
      </c>
      <c r="G193" s="19">
        <v>107.30614805520703</v>
      </c>
      <c r="H193" s="19">
        <v>90.282833994976912</v>
      </c>
    </row>
    <row r="194" spans="1:12" ht="15.6" customHeight="1">
      <c r="A194" s="382"/>
      <c r="B194" s="263" t="s">
        <v>524</v>
      </c>
      <c r="C194" s="391"/>
      <c r="D194" s="339"/>
      <c r="E194" s="377"/>
      <c r="F194" s="19">
        <v>8.7353629976580791</v>
      </c>
      <c r="G194" s="19">
        <v>8.9565989847715741</v>
      </c>
      <c r="H194" s="19">
        <v>8.915355433518295</v>
      </c>
    </row>
    <row r="195" spans="1:12" ht="15.6" customHeight="1">
      <c r="A195" s="382"/>
      <c r="B195" s="263" t="s">
        <v>525</v>
      </c>
      <c r="C195" s="391"/>
      <c r="D195" s="339"/>
      <c r="E195" s="377"/>
      <c r="F195" s="19">
        <v>1</v>
      </c>
      <c r="G195" s="19">
        <v>0</v>
      </c>
      <c r="H195" s="19">
        <v>4.6666666666666661</v>
      </c>
    </row>
    <row r="196" spans="1:12" ht="15.6" customHeight="1" thickBot="1">
      <c r="A196" s="386"/>
      <c r="B196" s="312" t="s">
        <v>529</v>
      </c>
      <c r="C196" s="459"/>
      <c r="D196" s="460"/>
      <c r="E196" s="378"/>
      <c r="F196" s="313">
        <v>3.2102272727272725</v>
      </c>
      <c r="G196" s="313">
        <v>0</v>
      </c>
      <c r="H196" s="313">
        <v>3.4112531969309461</v>
      </c>
    </row>
    <row r="197" spans="1:12" ht="15.6" customHeight="1">
      <c r="D197" s="314"/>
      <c r="E197" s="315"/>
      <c r="F197" s="316"/>
      <c r="G197" s="316"/>
      <c r="H197" s="316"/>
    </row>
    <row r="198" spans="1:12" ht="15.6" customHeight="1">
      <c r="D198" s="314"/>
      <c r="E198" s="315"/>
      <c r="F198" s="316"/>
      <c r="G198" s="316"/>
      <c r="H198" s="316"/>
    </row>
    <row r="199" spans="1:12" ht="14.4" thickBot="1">
      <c r="A199" s="1" t="s">
        <v>228</v>
      </c>
    </row>
    <row r="200" spans="1:12" ht="16.2" thickBot="1">
      <c r="A200" s="303"/>
      <c r="B200" s="4" t="s">
        <v>229</v>
      </c>
      <c r="C200" s="4" t="s">
        <v>230</v>
      </c>
      <c r="D200" s="101" t="s">
        <v>21</v>
      </c>
      <c r="E200" s="4" t="s">
        <v>22</v>
      </c>
      <c r="F200" s="4">
        <v>2016</v>
      </c>
      <c r="G200" s="4">
        <f t="shared" ref="G200:L200" si="0">F200+1</f>
        <v>2017</v>
      </c>
      <c r="H200" s="4">
        <f t="shared" si="0"/>
        <v>2018</v>
      </c>
      <c r="I200" s="4">
        <f>H200+1</f>
        <v>2019</v>
      </c>
      <c r="J200" s="4">
        <f t="shared" si="0"/>
        <v>2020</v>
      </c>
      <c r="K200" s="4">
        <f t="shared" si="0"/>
        <v>2021</v>
      </c>
      <c r="L200" s="4">
        <f t="shared" si="0"/>
        <v>2022</v>
      </c>
    </row>
    <row r="201" spans="1:12" ht="13.8" customHeight="1">
      <c r="A201" s="451" t="s">
        <v>231</v>
      </c>
      <c r="B201" s="91" t="s">
        <v>232</v>
      </c>
      <c r="C201" s="362" t="s">
        <v>233</v>
      </c>
      <c r="D201" s="365" t="s">
        <v>234</v>
      </c>
      <c r="E201" s="368" t="s">
        <v>112</v>
      </c>
      <c r="F201" s="272">
        <v>0.46193614148757262</v>
      </c>
      <c r="G201" s="272">
        <v>0.46210877554658258</v>
      </c>
      <c r="H201" s="272">
        <v>0.46229845073588111</v>
      </c>
      <c r="I201" s="272">
        <v>0.4634283517658821</v>
      </c>
      <c r="J201" s="272">
        <v>0.4636024676623085</v>
      </c>
      <c r="K201" s="272">
        <v>0.4637187918994955</v>
      </c>
      <c r="L201" s="272">
        <v>0.4644441513148207</v>
      </c>
    </row>
    <row r="202" spans="1:12">
      <c r="A202" s="452"/>
      <c r="B202" s="90" t="s">
        <v>235</v>
      </c>
      <c r="C202" s="363"/>
      <c r="D202" s="366"/>
      <c r="E202" s="368"/>
      <c r="F202" s="272">
        <v>4.0466016166908217E-2</v>
      </c>
      <c r="G202" s="272">
        <v>4.0454161467577056E-2</v>
      </c>
      <c r="H202" s="272">
        <v>4.03852560277147E-2</v>
      </c>
      <c r="I202" s="272">
        <v>4.0754233544396994E-2</v>
      </c>
      <c r="J202" s="272">
        <v>4.080609785397081E-2</v>
      </c>
      <c r="K202" s="272">
        <v>4.0827584496508536E-2</v>
      </c>
      <c r="L202" s="272">
        <v>4.0755715381813391E-2</v>
      </c>
    </row>
    <row r="203" spans="1:12">
      <c r="A203" s="452"/>
      <c r="B203" s="90" t="s">
        <v>236</v>
      </c>
      <c r="C203" s="363"/>
      <c r="D203" s="366"/>
      <c r="E203" s="368"/>
      <c r="F203" s="272">
        <v>0.10465032202063103</v>
      </c>
      <c r="G203" s="272">
        <v>0.10468959071216549</v>
      </c>
      <c r="H203" s="272">
        <v>0.104372477505057</v>
      </c>
      <c r="I203" s="272">
        <v>0.10453177502731945</v>
      </c>
      <c r="J203" s="272">
        <v>0.10455029799502438</v>
      </c>
      <c r="K203" s="272">
        <v>0.10435247269993568</v>
      </c>
      <c r="L203" s="272">
        <v>0.10429986747165365</v>
      </c>
    </row>
    <row r="204" spans="1:12" ht="14.4" thickBot="1">
      <c r="A204" s="453"/>
      <c r="B204" s="103" t="s">
        <v>237</v>
      </c>
      <c r="C204" s="363"/>
      <c r="D204" s="366"/>
      <c r="E204" s="368"/>
      <c r="F204" s="273">
        <v>0.13757304481938171</v>
      </c>
      <c r="G204" s="273">
        <v>0.13783607096079176</v>
      </c>
      <c r="H204" s="273">
        <v>0.13805908749195916</v>
      </c>
      <c r="I204" s="273">
        <v>0.14734650349921335</v>
      </c>
      <c r="J204" s="273">
        <v>0.14797109797022376</v>
      </c>
      <c r="K204" s="273">
        <v>0.14865496593788996</v>
      </c>
      <c r="L204" s="273">
        <v>0.14969521580419906</v>
      </c>
    </row>
    <row r="205" spans="1:12" ht="14.4" thickBot="1">
      <c r="A205" s="454" t="s">
        <v>238</v>
      </c>
      <c r="B205" s="105" t="s">
        <v>239</v>
      </c>
      <c r="C205" s="363"/>
      <c r="D205" s="366"/>
      <c r="E205" s="368"/>
      <c r="F205" s="274">
        <v>1.0521045656402825E-4</v>
      </c>
      <c r="G205" s="274">
        <v>1.0521045656402825E-4</v>
      </c>
      <c r="H205" s="274">
        <v>1.0521045656402825E-4</v>
      </c>
      <c r="I205" s="274">
        <v>1.0521045656402825E-4</v>
      </c>
      <c r="J205" s="274">
        <v>1.0521045656402825E-4</v>
      </c>
      <c r="K205" s="274">
        <v>1.0521045656402825E-4</v>
      </c>
      <c r="L205" s="274">
        <v>1.0521045656402825E-4</v>
      </c>
    </row>
    <row r="206" spans="1:12">
      <c r="A206" s="455"/>
      <c r="B206" s="107" t="s">
        <v>240</v>
      </c>
      <c r="C206" s="363"/>
      <c r="D206" s="366"/>
      <c r="E206" s="368"/>
      <c r="F206" s="272">
        <v>0.11582633981508035</v>
      </c>
      <c r="G206" s="272">
        <v>0.11624273612908727</v>
      </c>
      <c r="H206" s="272">
        <v>0.11973468600082152</v>
      </c>
      <c r="I206" s="272">
        <v>0.12117429105084904</v>
      </c>
      <c r="J206" s="272">
        <v>0.12137211634593774</v>
      </c>
      <c r="K206" s="272">
        <v>0.12301621495942773</v>
      </c>
      <c r="L206" s="272">
        <v>0.12366525974780865</v>
      </c>
    </row>
    <row r="207" spans="1:12" ht="14.4" thickBot="1">
      <c r="A207" s="455"/>
      <c r="B207" s="108" t="s">
        <v>241</v>
      </c>
      <c r="C207" s="363"/>
      <c r="D207" s="366"/>
      <c r="E207" s="368"/>
      <c r="F207" s="272">
        <v>3.5564097993474338E-4</v>
      </c>
      <c r="G207" s="272">
        <v>3.5193638639375647E-4</v>
      </c>
      <c r="H207" s="272">
        <v>5.2679320152833862E-4</v>
      </c>
      <c r="I207" s="272">
        <v>5.7643475497756323E-4</v>
      </c>
      <c r="J207" s="272">
        <v>5.7643475497756323E-4</v>
      </c>
      <c r="K207" s="272">
        <v>5.7791659239395793E-4</v>
      </c>
      <c r="L207" s="272">
        <v>5.8458486076773451E-4</v>
      </c>
    </row>
    <row r="208" spans="1:12" ht="22.8" customHeight="1" thickBot="1">
      <c r="A208" s="455"/>
      <c r="B208" s="108" t="s">
        <v>242</v>
      </c>
      <c r="C208" s="363"/>
      <c r="D208" s="366"/>
      <c r="E208" s="368"/>
      <c r="F208" s="272">
        <v>0</v>
      </c>
      <c r="G208" s="272">
        <v>0</v>
      </c>
      <c r="H208" s="272">
        <v>0</v>
      </c>
      <c r="I208" s="272">
        <v>0</v>
      </c>
      <c r="J208" s="272">
        <v>0</v>
      </c>
      <c r="K208" s="272">
        <v>0</v>
      </c>
      <c r="L208" s="272">
        <v>0</v>
      </c>
    </row>
    <row r="209" spans="1:18" ht="14.4" thickBot="1">
      <c r="A209" s="456"/>
      <c r="B209" s="109" t="s">
        <v>243</v>
      </c>
      <c r="C209" s="363"/>
      <c r="D209" s="366"/>
      <c r="E209" s="368"/>
      <c r="F209" s="273">
        <v>1.7041130288539789E-5</v>
      </c>
      <c r="G209" s="273">
        <v>1.7041130288539789E-5</v>
      </c>
      <c r="H209" s="273">
        <v>1.7041130288539789E-5</v>
      </c>
      <c r="I209" s="273">
        <v>1.7041130288539789E-5</v>
      </c>
      <c r="J209" s="273">
        <v>1.7041130288539789E-5</v>
      </c>
      <c r="K209" s="273">
        <v>1.7041130288539789E-5</v>
      </c>
      <c r="L209" s="273">
        <v>1.7041130288539789E-5</v>
      </c>
    </row>
    <row r="210" spans="1:18" ht="14.4" thickBot="1">
      <c r="A210" s="457" t="s">
        <v>244</v>
      </c>
      <c r="B210" s="105" t="s">
        <v>245</v>
      </c>
      <c r="C210" s="363"/>
      <c r="D210" s="366"/>
      <c r="E210" s="368"/>
      <c r="F210" s="274">
        <v>1.4373822939029213E-4</v>
      </c>
      <c r="G210" s="274">
        <v>1.4225639197389735E-4</v>
      </c>
      <c r="H210" s="274">
        <v>1.5337017259685809E-4</v>
      </c>
      <c r="I210" s="274">
        <v>1.5485201001325284E-4</v>
      </c>
      <c r="J210" s="274">
        <v>1.5485201001325284E-4</v>
      </c>
      <c r="K210" s="274">
        <v>1.6522487192801617E-4</v>
      </c>
      <c r="L210" s="274">
        <v>1.6744762805260836E-4</v>
      </c>
    </row>
    <row r="211" spans="1:18" ht="14.4" thickBot="1">
      <c r="A211" s="458"/>
      <c r="B211" s="91" t="s">
        <v>246</v>
      </c>
      <c r="C211" s="363"/>
      <c r="D211" s="366"/>
      <c r="E211" s="368"/>
      <c r="F211" s="273">
        <v>1.5940866006866675E-2</v>
      </c>
      <c r="G211" s="273">
        <v>1.5954943462322423E-2</v>
      </c>
      <c r="H211" s="273">
        <v>1.6015698796394608E-2</v>
      </c>
      <c r="I211" s="273">
        <v>1.6130541196165204E-2</v>
      </c>
      <c r="J211" s="273">
        <v>1.6131282114873403E-2</v>
      </c>
      <c r="K211" s="273">
        <v>1.6085345154965163E-2</v>
      </c>
      <c r="L211" s="273">
        <v>1.6020885227351993E-2</v>
      </c>
    </row>
    <row r="212" spans="1:18" ht="24.6" thickBot="1">
      <c r="A212" s="275" t="s">
        <v>247</v>
      </c>
      <c r="B212" s="111" t="s">
        <v>248</v>
      </c>
      <c r="C212" s="363"/>
      <c r="D212" s="366"/>
      <c r="E212" s="368"/>
      <c r="F212" s="276">
        <v>1.1543513473715212E-3</v>
      </c>
      <c r="G212" s="276">
        <v>1.1543513473715212E-3</v>
      </c>
      <c r="H212" s="276">
        <v>1.1261964364600208E-3</v>
      </c>
      <c r="I212" s="276">
        <v>1.1254555177518232E-3</v>
      </c>
      <c r="J212" s="276">
        <v>1.1254555177518232E-3</v>
      </c>
      <c r="K212" s="276">
        <v>1.1254555177518232E-3</v>
      </c>
      <c r="L212" s="276">
        <v>1.1150826558370601E-3</v>
      </c>
    </row>
    <row r="213" spans="1:18" ht="14.4" thickBot="1">
      <c r="A213" s="277" t="s">
        <v>249</v>
      </c>
      <c r="B213" s="113" t="s">
        <v>18</v>
      </c>
      <c r="C213" s="363"/>
      <c r="D213" s="366"/>
      <c r="E213" s="368"/>
      <c r="F213" s="278">
        <v>7.2535941532523695E-4</v>
      </c>
      <c r="G213" s="278">
        <v>8.5724294538437097E-4</v>
      </c>
      <c r="H213" s="278">
        <v>8.6761580729913441E-4</v>
      </c>
      <c r="I213" s="278">
        <v>1.1017461190895072E-3</v>
      </c>
      <c r="J213" s="278">
        <v>1.2025110634043511E-3</v>
      </c>
      <c r="K213" s="278">
        <v>1.3492129676274326E-3</v>
      </c>
      <c r="L213" s="278">
        <v>1.4885056847685405E-3</v>
      </c>
    </row>
    <row r="214" spans="1:18">
      <c r="A214" s="454" t="s">
        <v>250</v>
      </c>
      <c r="B214" s="115" t="s">
        <v>251</v>
      </c>
      <c r="C214" s="363"/>
      <c r="D214" s="366"/>
      <c r="E214" s="368"/>
      <c r="F214" s="274">
        <v>0.14207412597168076</v>
      </c>
      <c r="G214" s="274">
        <v>0.14105388091049301</v>
      </c>
      <c r="H214" s="274">
        <v>0.13729001387285031</v>
      </c>
      <c r="I214" s="274">
        <v>0.12450546156290447</v>
      </c>
      <c r="J214" s="274">
        <v>0.12333703276007719</v>
      </c>
      <c r="K214" s="274">
        <v>0.12095127451968163</v>
      </c>
      <c r="L214" s="274">
        <v>0.11833953607328584</v>
      </c>
    </row>
    <row r="215" spans="1:18" ht="14.4" thickBot="1">
      <c r="A215" s="455"/>
      <c r="B215" s="108" t="s">
        <v>252</v>
      </c>
      <c r="C215" s="363"/>
      <c r="D215" s="366"/>
      <c r="E215" s="368"/>
      <c r="F215" s="272">
        <v>1.0891505010501516E-4</v>
      </c>
      <c r="G215" s="272">
        <v>1.0891505010501516E-4</v>
      </c>
      <c r="H215" s="272">
        <v>1.0817413139681778E-4</v>
      </c>
      <c r="I215" s="272">
        <v>1.0817413139681778E-4</v>
      </c>
      <c r="J215" s="272">
        <v>1.0817413139681778E-4</v>
      </c>
      <c r="K215" s="272">
        <v>1.0817413139681778E-4</v>
      </c>
      <c r="L215" s="272">
        <v>1.3336536747552877E-4</v>
      </c>
    </row>
    <row r="216" spans="1:18" ht="14.4" thickBot="1">
      <c r="A216" s="455"/>
      <c r="B216" s="108" t="s">
        <v>253</v>
      </c>
      <c r="C216" s="363"/>
      <c r="D216" s="366"/>
      <c r="E216" s="368"/>
      <c r="F216" s="272">
        <v>8.1501057901712025E-6</v>
      </c>
      <c r="G216" s="272">
        <v>8.1501057901712025E-6</v>
      </c>
      <c r="H216" s="272">
        <v>8.1501057901712025E-6</v>
      </c>
      <c r="I216" s="272">
        <v>8.1501057901712025E-6</v>
      </c>
      <c r="J216" s="272">
        <v>8.1501057901712025E-6</v>
      </c>
      <c r="K216" s="272">
        <v>8.1501057901712025E-6</v>
      </c>
      <c r="L216" s="272">
        <v>1.8522967704934549E-5</v>
      </c>
    </row>
    <row r="217" spans="1:18" ht="14.4" thickBot="1">
      <c r="A217" s="434"/>
      <c r="B217" s="108" t="s">
        <v>254</v>
      </c>
      <c r="C217" s="364"/>
      <c r="D217" s="367"/>
      <c r="E217" s="369"/>
      <c r="F217" s="272">
        <v>1.638912182532609E-3</v>
      </c>
      <c r="G217" s="272">
        <v>1.638912182532609E-3</v>
      </c>
      <c r="H217" s="272">
        <v>1.6559533128211487E-3</v>
      </c>
      <c r="I217" s="272">
        <v>1.6559533128211487E-3</v>
      </c>
      <c r="J217" s="272">
        <v>1.6559533128211487E-3</v>
      </c>
      <c r="K217" s="272">
        <v>1.6611397437785306E-3</v>
      </c>
      <c r="L217" s="272">
        <v>1.8737834130311791E-3</v>
      </c>
    </row>
    <row r="219" spans="1:18" ht="15" thickBot="1">
      <c r="A219" s="116" t="s">
        <v>255</v>
      </c>
      <c r="B219"/>
      <c r="C219"/>
      <c r="D219"/>
      <c r="E219"/>
      <c r="F219"/>
      <c r="G219"/>
      <c r="H219"/>
      <c r="I219"/>
      <c r="J219"/>
      <c r="K219"/>
      <c r="L219"/>
      <c r="M219"/>
      <c r="N219"/>
      <c r="O219"/>
      <c r="P219"/>
      <c r="Q219"/>
      <c r="R219"/>
    </row>
    <row r="220" spans="1:18" ht="14.4">
      <c r="A220"/>
      <c r="B220" s="117" t="s">
        <v>20</v>
      </c>
      <c r="C220" s="117" t="s">
        <v>21</v>
      </c>
      <c r="D220" s="117" t="s">
        <v>22</v>
      </c>
      <c r="E220" s="117">
        <v>2010</v>
      </c>
      <c r="F220" s="117">
        <v>2011</v>
      </c>
      <c r="G220" s="117">
        <v>2012</v>
      </c>
      <c r="H220" s="117">
        <v>2013</v>
      </c>
      <c r="I220" s="117">
        <v>2014</v>
      </c>
      <c r="J220" s="117">
        <v>2015</v>
      </c>
      <c r="K220" s="117">
        <v>2016</v>
      </c>
      <c r="L220" s="117">
        <v>2017</v>
      </c>
      <c r="M220" s="117">
        <v>2018</v>
      </c>
      <c r="N220" s="117">
        <v>2019</v>
      </c>
      <c r="O220" s="117">
        <v>2020</v>
      </c>
      <c r="P220" s="117">
        <v>2021</v>
      </c>
      <c r="Q220" s="117">
        <v>2022</v>
      </c>
      <c r="R220" s="117">
        <v>2023</v>
      </c>
    </row>
    <row r="221" spans="1:18" ht="72">
      <c r="A221" s="118" t="s">
        <v>255</v>
      </c>
      <c r="B221" s="149" t="s">
        <v>256</v>
      </c>
      <c r="C221" s="150" t="s">
        <v>257</v>
      </c>
      <c r="D221" s="150" t="s">
        <v>258</v>
      </c>
      <c r="E221" s="119">
        <v>155909.53801727199</v>
      </c>
      <c r="F221" s="119">
        <v>158496.59439659101</v>
      </c>
      <c r="G221" s="119">
        <v>163937.99015617301</v>
      </c>
      <c r="H221" s="119">
        <v>168908.56904411301</v>
      </c>
      <c r="I221" s="119">
        <v>173769.93455314601</v>
      </c>
      <c r="J221" s="119">
        <v>181122.84585952701</v>
      </c>
      <c r="K221" s="119">
        <v>192189.97744178699</v>
      </c>
      <c r="L221" s="119">
        <v>198477.95875930699</v>
      </c>
      <c r="M221" s="119">
        <v>208774.05504798799</v>
      </c>
      <c r="N221" s="119">
        <v>210556.50684356599</v>
      </c>
      <c r="O221" s="119">
        <v>212061.60411071699</v>
      </c>
      <c r="P221" s="119">
        <v>223107.852018356</v>
      </c>
      <c r="Q221" s="119">
        <v>219493.48610114999</v>
      </c>
      <c r="R221" s="119">
        <v>224010.160263061</v>
      </c>
    </row>
    <row r="223" spans="1:18" ht="15" thickBot="1">
      <c r="A223" s="116" t="s">
        <v>259</v>
      </c>
      <c r="B223"/>
      <c r="C223"/>
      <c r="D223"/>
      <c r="E223"/>
      <c r="F223"/>
      <c r="G223"/>
      <c r="H223"/>
    </row>
    <row r="224" spans="1:18" ht="15" thickBot="1">
      <c r="A224"/>
      <c r="B224" s="234" t="s">
        <v>229</v>
      </c>
      <c r="C224" s="117" t="s">
        <v>20</v>
      </c>
      <c r="D224" s="117" t="s">
        <v>21</v>
      </c>
      <c r="E224" s="117" t="s">
        <v>22</v>
      </c>
      <c r="F224" s="117">
        <v>2010</v>
      </c>
      <c r="G224" s="117">
        <v>2015</v>
      </c>
      <c r="H224" s="117">
        <v>2020</v>
      </c>
    </row>
    <row r="225" spans="1:12" ht="15.6" thickTop="1" thickBot="1">
      <c r="A225" s="356" t="s">
        <v>259</v>
      </c>
      <c r="B225" s="120" t="s">
        <v>261</v>
      </c>
      <c r="C225" s="429" t="s">
        <v>262</v>
      </c>
      <c r="D225" s="430" t="s">
        <v>263</v>
      </c>
      <c r="E225" s="430" t="s">
        <v>264</v>
      </c>
      <c r="F225" s="121">
        <v>0</v>
      </c>
      <c r="G225" s="121">
        <v>0</v>
      </c>
      <c r="H225" s="121">
        <v>0</v>
      </c>
      <c r="J225" s="13"/>
      <c r="K225" s="13"/>
      <c r="L225" s="13"/>
    </row>
    <row r="226" spans="1:12" ht="15.6" thickTop="1" thickBot="1">
      <c r="A226" s="356"/>
      <c r="B226" s="90" t="s">
        <v>265</v>
      </c>
      <c r="C226" s="429"/>
      <c r="D226" s="430"/>
      <c r="E226" s="430"/>
      <c r="F226" s="121">
        <v>1282911.9429016043</v>
      </c>
      <c r="G226" s="121">
        <v>1306979.3457719749</v>
      </c>
      <c r="H226" s="121">
        <v>1253040.13842775</v>
      </c>
      <c r="J226" s="13"/>
      <c r="K226" s="13"/>
      <c r="L226" s="13"/>
    </row>
    <row r="227" spans="1:12" ht="15.6" thickTop="1" thickBot="1">
      <c r="A227" s="356"/>
      <c r="B227" s="91" t="s">
        <v>266</v>
      </c>
      <c r="C227" s="429"/>
      <c r="D227" s="430"/>
      <c r="E227" s="430"/>
      <c r="F227" s="121">
        <v>229001.40559099315</v>
      </c>
      <c r="G227" s="121">
        <v>250162.87016107491</v>
      </c>
      <c r="H227" s="121">
        <v>242236.56489723999</v>
      </c>
      <c r="J227" s="13"/>
      <c r="K227" s="13"/>
      <c r="L227" s="13"/>
    </row>
    <row r="228" spans="1:12" ht="15.6" thickTop="1" thickBot="1">
      <c r="A228" s="356"/>
      <c r="B228" s="91" t="s">
        <v>267</v>
      </c>
      <c r="C228" s="429"/>
      <c r="D228" s="430"/>
      <c r="E228" s="430"/>
      <c r="F228" s="121">
        <v>6447.6762656642804</v>
      </c>
      <c r="G228" s="121">
        <v>3448.322743314689</v>
      </c>
      <c r="H228" s="317">
        <v>4514.2463565876797</v>
      </c>
      <c r="J228" s="13"/>
      <c r="K228" s="13"/>
      <c r="L228" s="13"/>
    </row>
    <row r="229" spans="1:12" ht="15.6" thickTop="1" thickBot="1">
      <c r="A229" s="356"/>
      <c r="B229" s="90" t="s">
        <v>268</v>
      </c>
      <c r="C229" s="429"/>
      <c r="D229" s="430"/>
      <c r="E229" s="430"/>
      <c r="F229" s="121">
        <v>180795.40197392608</v>
      </c>
      <c r="G229" s="121">
        <v>218709.08724907998</v>
      </c>
      <c r="H229" s="317">
        <v>244262.71197808901</v>
      </c>
      <c r="J229" s="13"/>
      <c r="K229" s="13"/>
      <c r="L229" s="13"/>
    </row>
    <row r="230" spans="1:12" ht="15.6" thickTop="1" thickBot="1">
      <c r="A230" s="356"/>
      <c r="B230" s="91" t="s">
        <v>269</v>
      </c>
      <c r="C230" s="429"/>
      <c r="D230" s="430"/>
      <c r="E230" s="430"/>
      <c r="F230" s="121">
        <v>1800.5033264370522</v>
      </c>
      <c r="G230" s="121">
        <v>3918.5772738940391</v>
      </c>
      <c r="H230" s="317">
        <v>2187.98124230543</v>
      </c>
      <c r="J230" s="13"/>
      <c r="K230" s="13"/>
      <c r="L230" s="13"/>
    </row>
    <row r="231" spans="1:12" ht="15.6" thickTop="1" thickBot="1">
      <c r="A231" s="356"/>
      <c r="B231" s="91" t="s">
        <v>270</v>
      </c>
      <c r="C231" s="429"/>
      <c r="D231" s="430"/>
      <c r="E231" s="430"/>
      <c r="F231" s="121">
        <v>727.48972643442164</v>
      </c>
      <c r="G231" s="121">
        <v>437.79532624440861</v>
      </c>
      <c r="H231" s="121">
        <v>846.01559043999964</v>
      </c>
      <c r="J231" s="13"/>
      <c r="K231" s="13"/>
      <c r="L231" s="13"/>
    </row>
    <row r="232" spans="1:12" ht="15.6" thickTop="1" thickBot="1">
      <c r="A232" s="356"/>
      <c r="B232" s="91" t="s">
        <v>271</v>
      </c>
      <c r="C232" s="429"/>
      <c r="D232" s="430"/>
      <c r="E232" s="430"/>
      <c r="F232" s="121">
        <v>11842.019127062462</v>
      </c>
      <c r="G232" s="121">
        <v>14081.126452146314</v>
      </c>
      <c r="H232" s="121">
        <v>33064.010205760002</v>
      </c>
      <c r="J232" s="13"/>
      <c r="K232" s="13"/>
      <c r="L232" s="13"/>
    </row>
    <row r="233" spans="1:12" ht="14.4" thickTop="1"/>
    <row r="237" spans="1:12" ht="14.4" thickBot="1"/>
    <row r="238" spans="1:12" ht="14.4">
      <c r="A238" s="122" t="s">
        <v>20</v>
      </c>
      <c r="B238" s="117" t="s">
        <v>47</v>
      </c>
    </row>
    <row r="239" spans="1:12" ht="14.4">
      <c r="A239" s="123" t="s">
        <v>169</v>
      </c>
      <c r="B239" s="318" t="s">
        <v>272</v>
      </c>
    </row>
    <row r="240" spans="1:12" ht="55.2">
      <c r="A240" s="124" t="s">
        <v>273</v>
      </c>
      <c r="B240" s="318" t="s">
        <v>274</v>
      </c>
    </row>
    <row r="241" spans="1:2" ht="41.4">
      <c r="A241" s="124" t="s">
        <v>181</v>
      </c>
      <c r="B241" s="318" t="s">
        <v>275</v>
      </c>
    </row>
    <row r="242" spans="1:2" ht="14.4">
      <c r="A242" s="124" t="s">
        <v>199</v>
      </c>
      <c r="B242" s="318" t="s">
        <v>276</v>
      </c>
    </row>
    <row r="243" spans="1:2" ht="27.6">
      <c r="A243" s="124" t="s">
        <v>233</v>
      </c>
      <c r="B243" s="318" t="s">
        <v>277</v>
      </c>
    </row>
    <row r="244" spans="1:2" ht="41.4">
      <c r="A244" s="124" t="s">
        <v>256</v>
      </c>
      <c r="B244" s="318" t="s">
        <v>278</v>
      </c>
    </row>
    <row r="245" spans="1:2" ht="27.6">
      <c r="A245" s="124" t="s">
        <v>279</v>
      </c>
      <c r="B245" s="318" t="s">
        <v>280</v>
      </c>
    </row>
  </sheetData>
  <mergeCells count="35">
    <mergeCell ref="B4:B6"/>
    <mergeCell ref="C4:C6"/>
    <mergeCell ref="B16:B17"/>
    <mergeCell ref="C16:C17"/>
    <mergeCell ref="B22:B23"/>
    <mergeCell ref="C22:C23"/>
    <mergeCell ref="E34:E70"/>
    <mergeCell ref="A71:A107"/>
    <mergeCell ref="E71:E107"/>
    <mergeCell ref="A108:A144"/>
    <mergeCell ref="E108:E144"/>
    <mergeCell ref="B28:B29"/>
    <mergeCell ref="C28:C29"/>
    <mergeCell ref="A34:A70"/>
    <mergeCell ref="C34:C144"/>
    <mergeCell ref="D34:D144"/>
    <mergeCell ref="A149:A164"/>
    <mergeCell ref="C149:C196"/>
    <mergeCell ref="D149:D196"/>
    <mergeCell ref="E149:E164"/>
    <mergeCell ref="A165:A180"/>
    <mergeCell ref="E165:E180"/>
    <mergeCell ref="A181:A196"/>
    <mergeCell ref="E181:E196"/>
    <mergeCell ref="A225:A232"/>
    <mergeCell ref="C225:C232"/>
    <mergeCell ref="D225:D232"/>
    <mergeCell ref="E225:E232"/>
    <mergeCell ref="A201:A204"/>
    <mergeCell ref="C201:C217"/>
    <mergeCell ref="D201:D217"/>
    <mergeCell ref="E201:E217"/>
    <mergeCell ref="A205:A209"/>
    <mergeCell ref="A210:A211"/>
    <mergeCell ref="A214:A217"/>
  </mergeCells>
  <hyperlinks>
    <hyperlink ref="B242" r:id="rId1" xr:uid="{4E4A0348-B5D2-4952-B04C-7C96D76C719E}"/>
    <hyperlink ref="B241" r:id="rId2" xr:uid="{20B4FC6E-D52D-46DF-B2F9-ED1E6FAEB480}"/>
    <hyperlink ref="B239" r:id="rId3" xr:uid="{5E2B65B0-71D6-4824-BB9B-CB3E1DA6A930}"/>
    <hyperlink ref="B245" r:id="rId4" xr:uid="{14F8EF7A-6FB7-4B62-AF86-ABC6F9952E8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F8BD-3994-48D3-B14D-145B083D374C}">
  <dimension ref="A2:EV87"/>
  <sheetViews>
    <sheetView zoomScale="70" zoomScaleNormal="70" workbookViewId="0">
      <selection activeCell="A82" sqref="A82:B82"/>
    </sheetView>
  </sheetViews>
  <sheetFormatPr baseColWidth="10" defaultColWidth="9.77734375" defaultRowHeight="13.8"/>
  <cols>
    <col min="1" max="1" width="57.109375" style="3" customWidth="1"/>
    <col min="2" max="2" width="88.21875" style="154" bestFit="1" customWidth="1"/>
    <col min="3" max="3" width="21.21875" style="3" customWidth="1"/>
    <col min="4" max="4" width="19.33203125" style="3" customWidth="1"/>
    <col min="5" max="9" width="19.33203125" style="3" hidden="1" customWidth="1"/>
    <col min="10" max="10" width="20.44140625" style="3" customWidth="1"/>
    <col min="11" max="11" width="13" style="3" customWidth="1"/>
    <col min="12" max="14" width="19.109375" style="3" bestFit="1" customWidth="1"/>
    <col min="15" max="15" width="11.33203125" style="3" customWidth="1"/>
    <col min="16" max="17" width="19.109375" style="3" bestFit="1" customWidth="1"/>
    <col min="18" max="16384" width="9.77734375" style="3"/>
  </cols>
  <sheetData>
    <row r="2" spans="1:152" ht="14.4" thickBot="1">
      <c r="A2" s="1" t="s">
        <v>281</v>
      </c>
    </row>
    <row r="3" spans="1:152">
      <c r="B3" s="4" t="s">
        <v>20</v>
      </c>
      <c r="C3" s="4" t="s">
        <v>21</v>
      </c>
      <c r="D3" s="4" t="s">
        <v>22</v>
      </c>
      <c r="E3" s="4">
        <v>2010</v>
      </c>
      <c r="F3" s="4">
        <v>2011</v>
      </c>
      <c r="G3" s="4">
        <v>2012</v>
      </c>
      <c r="H3" s="4">
        <v>2013</v>
      </c>
      <c r="I3" s="4">
        <v>2014</v>
      </c>
      <c r="J3" s="4">
        <v>2015</v>
      </c>
      <c r="K3" s="4">
        <v>2016</v>
      </c>
      <c r="L3" s="4">
        <v>2017</v>
      </c>
      <c r="M3" s="4">
        <v>2018</v>
      </c>
      <c r="N3" s="4">
        <v>2019</v>
      </c>
      <c r="O3" s="4">
        <v>2020</v>
      </c>
      <c r="P3" s="4">
        <v>2021</v>
      </c>
      <c r="Q3" s="4">
        <v>2022</v>
      </c>
    </row>
    <row r="4" spans="1:152" s="159" customFormat="1">
      <c r="A4" s="5" t="s">
        <v>282</v>
      </c>
      <c r="B4" s="394" t="s">
        <v>470</v>
      </c>
      <c r="C4" s="396" t="s">
        <v>442</v>
      </c>
      <c r="D4" s="155" t="s">
        <v>285</v>
      </c>
      <c r="E4" s="158"/>
      <c r="F4" s="158"/>
      <c r="G4" s="158"/>
      <c r="H4" s="158"/>
      <c r="I4" s="158"/>
      <c r="J4" s="158">
        <v>412.66116094367646</v>
      </c>
      <c r="K4" s="158">
        <v>427.14893149769034</v>
      </c>
      <c r="L4" s="158">
        <v>428.407810449377</v>
      </c>
      <c r="M4" s="158">
        <v>459.83423797361729</v>
      </c>
      <c r="N4" s="158">
        <v>472.87822442823415</v>
      </c>
      <c r="O4" s="158">
        <v>453.78794537169864</v>
      </c>
      <c r="P4" s="158">
        <v>490.80679388697251</v>
      </c>
      <c r="Q4" s="158">
        <v>427.26811984405606</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row>
    <row r="5" spans="1:152" s="159" customFormat="1">
      <c r="A5" s="5" t="s">
        <v>286</v>
      </c>
      <c r="B5" s="410"/>
      <c r="C5" s="396"/>
      <c r="D5" s="155" t="s">
        <v>285</v>
      </c>
      <c r="E5" s="158"/>
      <c r="F5" s="158"/>
      <c r="G5" s="158"/>
      <c r="H5" s="158"/>
      <c r="I5" s="158"/>
      <c r="J5" s="158">
        <v>143.90551090775634</v>
      </c>
      <c r="K5" s="158">
        <v>151.0309851368917</v>
      </c>
      <c r="L5" s="158">
        <v>163.96854616824564</v>
      </c>
      <c r="M5" s="158">
        <v>188.95725258463688</v>
      </c>
      <c r="N5" s="158">
        <v>187.28575617373599</v>
      </c>
      <c r="O5" s="158">
        <v>194.51668884394053</v>
      </c>
      <c r="P5" s="158">
        <v>222.14164922303979</v>
      </c>
      <c r="Q5" s="158">
        <v>191.25235338629665</v>
      </c>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row>
    <row r="6" spans="1:152" s="159" customFormat="1">
      <c r="A6" s="5" t="s">
        <v>287</v>
      </c>
      <c r="B6" s="410"/>
      <c r="C6" s="396"/>
      <c r="D6" s="155" t="s">
        <v>285</v>
      </c>
      <c r="E6" s="158"/>
      <c r="F6" s="158"/>
      <c r="G6" s="158"/>
      <c r="H6" s="158"/>
      <c r="I6" s="158"/>
      <c r="J6" s="158">
        <v>673.66391127761597</v>
      </c>
      <c r="K6" s="158">
        <v>711.59795645304575</v>
      </c>
      <c r="L6" s="158">
        <v>774.55544364306581</v>
      </c>
      <c r="M6" s="158">
        <v>834.7068809907455</v>
      </c>
      <c r="N6" s="158">
        <v>828.39415035069965</v>
      </c>
      <c r="O6" s="158">
        <v>815.7042806311448</v>
      </c>
      <c r="P6" s="158">
        <v>884.54883993941542</v>
      </c>
      <c r="Q6" s="158">
        <v>754.90958190872857</v>
      </c>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row>
    <row r="7" spans="1:152" s="159" customFormat="1">
      <c r="A7" s="5" t="s">
        <v>288</v>
      </c>
      <c r="B7" s="410"/>
      <c r="C7" s="396"/>
      <c r="D7" s="155" t="s">
        <v>285</v>
      </c>
      <c r="E7" s="158"/>
      <c r="F7" s="158"/>
      <c r="G7" s="158"/>
      <c r="H7" s="158"/>
      <c r="I7" s="158"/>
      <c r="J7" s="158">
        <v>524.37922635392033</v>
      </c>
      <c r="K7" s="158">
        <v>549.63831716387574</v>
      </c>
      <c r="L7" s="158">
        <v>594.69839011724093</v>
      </c>
      <c r="M7" s="158">
        <v>668.95610137883477</v>
      </c>
      <c r="N7" s="158">
        <v>646.02691571443188</v>
      </c>
      <c r="O7" s="158">
        <v>686.48479898688174</v>
      </c>
      <c r="P7" s="158">
        <v>706.48545358584158</v>
      </c>
      <c r="Q7" s="158">
        <v>614.56068128889035</v>
      </c>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row>
    <row r="8" spans="1:152" s="159" customFormat="1">
      <c r="A8" s="5" t="s">
        <v>289</v>
      </c>
      <c r="B8" s="410"/>
      <c r="C8" s="396"/>
      <c r="D8" s="155" t="s">
        <v>285</v>
      </c>
      <c r="E8" s="158"/>
      <c r="F8" s="158"/>
      <c r="G8" s="158"/>
      <c r="H8" s="158"/>
      <c r="I8" s="158"/>
      <c r="J8" s="158">
        <v>134.18736018912972</v>
      </c>
      <c r="K8" s="158">
        <v>149.69585249854686</v>
      </c>
      <c r="L8" s="158">
        <v>167.53151204291532</v>
      </c>
      <c r="M8" s="158">
        <v>159.79688488463188</v>
      </c>
      <c r="N8" s="158">
        <v>173.33701325482855</v>
      </c>
      <c r="O8" s="158">
        <v>189.50674934677826</v>
      </c>
      <c r="P8" s="158">
        <v>219.90144130015176</v>
      </c>
      <c r="Q8" s="158">
        <v>197.29899813358367</v>
      </c>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row>
    <row r="9" spans="1:152" s="159" customFormat="1">
      <c r="A9" s="5" t="s">
        <v>290</v>
      </c>
      <c r="B9" s="395"/>
      <c r="C9" s="396"/>
      <c r="D9" s="155" t="s">
        <v>285</v>
      </c>
      <c r="E9" s="279">
        <v>1645.4200206940559</v>
      </c>
      <c r="F9" s="158">
        <v>1872.628416008406</v>
      </c>
      <c r="G9" s="158">
        <v>1789.0207616180201</v>
      </c>
      <c r="H9" s="158">
        <v>1911.7540744618739</v>
      </c>
      <c r="I9" s="158">
        <v>2060.1727996912723</v>
      </c>
      <c r="J9" s="158">
        <v>1888.7813308633295</v>
      </c>
      <c r="K9" s="158">
        <v>1989.0964401641158</v>
      </c>
      <c r="L9" s="158">
        <v>2129.1617024208454</v>
      </c>
      <c r="M9" s="158">
        <v>2312.2831770965313</v>
      </c>
      <c r="N9" s="158">
        <v>2307.9220599219316</v>
      </c>
      <c r="O9" s="158">
        <v>2340.0004631804441</v>
      </c>
      <c r="P9" s="158">
        <v>2523.9231974594427</v>
      </c>
      <c r="Q9" s="158">
        <v>2185.3105144008432</v>
      </c>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row>
    <row r="10" spans="1:152">
      <c r="J10" s="280"/>
    </row>
    <row r="12" spans="1:152" s="159" customFormat="1" ht="14.4" thickBot="1">
      <c r="A12" s="160" t="s">
        <v>291</v>
      </c>
      <c r="B12" s="154"/>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152" s="159" customFormat="1">
      <c r="B13" s="4" t="s">
        <v>20</v>
      </c>
      <c r="C13" s="4" t="s">
        <v>21</v>
      </c>
      <c r="D13" s="4" t="s">
        <v>22</v>
      </c>
      <c r="E13" s="4">
        <v>2010</v>
      </c>
      <c r="F13" s="4">
        <v>2011</v>
      </c>
      <c r="G13" s="4">
        <v>2012</v>
      </c>
      <c r="H13" s="4">
        <v>2013</v>
      </c>
      <c r="I13" s="4">
        <v>2014</v>
      </c>
      <c r="J13" s="4">
        <v>2015</v>
      </c>
      <c r="K13" s="4">
        <v>2016</v>
      </c>
      <c r="L13" s="4">
        <v>2017</v>
      </c>
      <c r="M13" s="4">
        <v>2018</v>
      </c>
      <c r="N13" s="4">
        <v>2019</v>
      </c>
      <c r="O13" s="4">
        <v>2020</v>
      </c>
      <c r="P13" s="4">
        <v>2021</v>
      </c>
      <c r="Q13" s="4">
        <v>2022</v>
      </c>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152" s="159" customFormat="1">
      <c r="A14" s="5" t="s">
        <v>282</v>
      </c>
      <c r="B14" s="357" t="s">
        <v>471</v>
      </c>
      <c r="C14" s="358" t="s">
        <v>472</v>
      </c>
      <c r="D14" s="155" t="s">
        <v>112</v>
      </c>
      <c r="E14" s="162">
        <f>E4/$E$9</f>
        <v>0</v>
      </c>
      <c r="F14" s="162">
        <f>F4/F$9</f>
        <v>0</v>
      </c>
      <c r="G14" s="162">
        <f t="shared" ref="G14:Q18" si="0">G4/G$9</f>
        <v>0</v>
      </c>
      <c r="H14" s="162">
        <f t="shared" si="0"/>
        <v>0</v>
      </c>
      <c r="I14" s="162">
        <f t="shared" si="0"/>
        <v>0</v>
      </c>
      <c r="J14" s="162">
        <f t="shared" si="0"/>
        <v>0.21848011424120553</v>
      </c>
      <c r="K14" s="162">
        <f t="shared" si="0"/>
        <v>0.21474520936875602</v>
      </c>
      <c r="L14" s="162">
        <f t="shared" si="0"/>
        <v>0.20120961689395392</v>
      </c>
      <c r="M14" s="162">
        <f t="shared" si="0"/>
        <v>0.19886588395761204</v>
      </c>
      <c r="N14" s="162">
        <f t="shared" si="0"/>
        <v>0.20489349819908123</v>
      </c>
      <c r="O14" s="162">
        <f t="shared" si="0"/>
        <v>0.19392643399519949</v>
      </c>
      <c r="P14" s="162">
        <f t="shared" si="0"/>
        <v>0.19446185778593184</v>
      </c>
      <c r="Q14" s="162">
        <f t="shared" si="0"/>
        <v>0.1955182648087895</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52" s="159" customFormat="1">
      <c r="A15" s="5" t="s">
        <v>286</v>
      </c>
      <c r="B15" s="357"/>
      <c r="C15" s="358"/>
      <c r="D15" s="155" t="s">
        <v>112</v>
      </c>
      <c r="E15" s="162">
        <f t="shared" ref="E15:E18" si="1">E5/$E$9</f>
        <v>0</v>
      </c>
      <c r="F15" s="162">
        <f>F5/F$9</f>
        <v>0</v>
      </c>
      <c r="G15" s="162">
        <f t="shared" si="0"/>
        <v>0</v>
      </c>
      <c r="H15" s="162">
        <f t="shared" si="0"/>
        <v>0</v>
      </c>
      <c r="I15" s="162">
        <f t="shared" si="0"/>
        <v>0</v>
      </c>
      <c r="J15" s="162">
        <f t="shared" si="0"/>
        <v>7.6189608906172115E-2</v>
      </c>
      <c r="K15" s="162">
        <f t="shared" si="0"/>
        <v>7.5929443181965817E-2</v>
      </c>
      <c r="L15" s="162">
        <f t="shared" si="0"/>
        <v>7.7010847030460058E-2</v>
      </c>
      <c r="M15" s="162">
        <f t="shared" si="0"/>
        <v>8.1718906428193266E-2</v>
      </c>
      <c r="N15" s="162">
        <f t="shared" si="0"/>
        <v>8.1149081862873298E-2</v>
      </c>
      <c r="O15" s="162">
        <f t="shared" si="0"/>
        <v>8.3126773650104527E-2</v>
      </c>
      <c r="P15" s="162">
        <f t="shared" si="0"/>
        <v>8.8014425100829324E-2</v>
      </c>
      <c r="Q15" s="162">
        <f t="shared" si="0"/>
        <v>8.7517243945871556E-2</v>
      </c>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52" s="159" customFormat="1">
      <c r="A16" s="5" t="s">
        <v>287</v>
      </c>
      <c r="B16" s="357"/>
      <c r="C16" s="358"/>
      <c r="D16" s="155" t="s">
        <v>112</v>
      </c>
      <c r="E16" s="162">
        <f t="shared" si="1"/>
        <v>0</v>
      </c>
      <c r="F16" s="162">
        <f>F6/F$9</f>
        <v>0</v>
      </c>
      <c r="G16" s="162">
        <f t="shared" si="0"/>
        <v>0</v>
      </c>
      <c r="H16" s="162">
        <f t="shared" si="0"/>
        <v>0</v>
      </c>
      <c r="I16" s="162">
        <f t="shared" si="0"/>
        <v>0</v>
      </c>
      <c r="J16" s="162">
        <f t="shared" si="0"/>
        <v>0.35666590953103916</v>
      </c>
      <c r="K16" s="162">
        <f t="shared" si="0"/>
        <v>0.35774934894274579</v>
      </c>
      <c r="L16" s="162">
        <f t="shared" si="0"/>
        <v>0.36378422679799305</v>
      </c>
      <c r="M16" s="162">
        <f t="shared" si="0"/>
        <v>0.36098817361931568</v>
      </c>
      <c r="N16" s="162">
        <f t="shared" si="0"/>
        <v>0.35893506316184748</v>
      </c>
      <c r="O16" s="162">
        <f t="shared" si="0"/>
        <v>0.3485915039189646</v>
      </c>
      <c r="P16" s="162">
        <f t="shared" si="0"/>
        <v>0.35046583066782455</v>
      </c>
      <c r="Q16" s="162">
        <f t="shared" si="0"/>
        <v>0.34544728400563507</v>
      </c>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3" s="159" customFormat="1">
      <c r="A17" s="5" t="s">
        <v>288</v>
      </c>
      <c r="B17" s="357"/>
      <c r="C17" s="358"/>
      <c r="D17" s="155" t="s">
        <v>112</v>
      </c>
      <c r="E17" s="162">
        <f t="shared" si="1"/>
        <v>0</v>
      </c>
      <c r="F17" s="162">
        <f>F7/F$9</f>
        <v>0</v>
      </c>
      <c r="G17" s="162">
        <f t="shared" si="0"/>
        <v>0</v>
      </c>
      <c r="H17" s="162">
        <f t="shared" si="0"/>
        <v>0</v>
      </c>
      <c r="I17" s="162">
        <f t="shared" si="0"/>
        <v>0</v>
      </c>
      <c r="J17" s="162">
        <f t="shared" si="0"/>
        <v>0.27762834044650136</v>
      </c>
      <c r="K17" s="162">
        <f t="shared" si="0"/>
        <v>0.27632562507553748</v>
      </c>
      <c r="L17" s="162">
        <f t="shared" si="0"/>
        <v>0.27931104971551579</v>
      </c>
      <c r="M17" s="162">
        <f t="shared" si="0"/>
        <v>0.28930543975103606</v>
      </c>
      <c r="N17" s="162">
        <f t="shared" si="0"/>
        <v>0.27991712845635897</v>
      </c>
      <c r="O17" s="162">
        <f t="shared" si="0"/>
        <v>0.29336951414694867</v>
      </c>
      <c r="P17" s="162">
        <f t="shared" si="0"/>
        <v>0.27991559105165448</v>
      </c>
      <c r="Q17" s="162">
        <f t="shared" si="0"/>
        <v>0.28122350450383815</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3" s="159" customFormat="1">
      <c r="A18" s="5" t="s">
        <v>289</v>
      </c>
      <c r="B18" s="357"/>
      <c r="C18" s="358"/>
      <c r="D18" s="155" t="s">
        <v>112</v>
      </c>
      <c r="E18" s="162">
        <f t="shared" si="1"/>
        <v>0</v>
      </c>
      <c r="F18" s="162">
        <f>F8/F$9</f>
        <v>0</v>
      </c>
      <c r="G18" s="162">
        <f t="shared" si="0"/>
        <v>0</v>
      </c>
      <c r="H18" s="162">
        <f t="shared" si="0"/>
        <v>0</v>
      </c>
      <c r="I18" s="162">
        <f t="shared" si="0"/>
        <v>0</v>
      </c>
      <c r="J18" s="162">
        <f t="shared" si="0"/>
        <v>7.1044412604287538E-2</v>
      </c>
      <c r="K18" s="162">
        <f t="shared" si="0"/>
        <v>7.5258217488034809E-2</v>
      </c>
      <c r="L18" s="162">
        <f t="shared" si="0"/>
        <v>7.8684259562076891E-2</v>
      </c>
      <c r="M18" s="162">
        <f t="shared" si="0"/>
        <v>6.9107835263189657E-2</v>
      </c>
      <c r="N18" s="162">
        <f t="shared" si="0"/>
        <v>7.5105228319838443E-2</v>
      </c>
      <c r="O18" s="162">
        <f t="shared" si="0"/>
        <v>8.0985774288782633E-2</v>
      </c>
      <c r="P18" s="162">
        <f t="shared" si="0"/>
        <v>8.7126835523958293E-2</v>
      </c>
      <c r="Q18" s="162">
        <f t="shared" si="0"/>
        <v>9.0284193863258852E-2</v>
      </c>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3">
      <c r="E19" s="281"/>
      <c r="F19" s="281"/>
      <c r="G19" s="281"/>
      <c r="H19" s="281"/>
      <c r="I19" s="281"/>
      <c r="J19" s="281"/>
      <c r="K19" s="281"/>
      <c r="L19" s="281"/>
      <c r="M19" s="281"/>
      <c r="N19" s="281"/>
      <c r="O19" s="281"/>
      <c r="P19" s="281"/>
      <c r="Q19" s="281"/>
    </row>
    <row r="21" spans="1:83" ht="14.4" thickBot="1">
      <c r="A21" s="160" t="s">
        <v>293</v>
      </c>
    </row>
    <row r="22" spans="1:83">
      <c r="B22" s="4" t="s">
        <v>20</v>
      </c>
      <c r="C22" s="4" t="s">
        <v>21</v>
      </c>
      <c r="D22" s="4" t="s">
        <v>22</v>
      </c>
      <c r="E22" s="4">
        <v>2010</v>
      </c>
      <c r="F22" s="4">
        <v>2011</v>
      </c>
      <c r="G22" s="4">
        <v>2012</v>
      </c>
      <c r="H22" s="4">
        <v>2013</v>
      </c>
      <c r="I22" s="4">
        <v>2014</v>
      </c>
      <c r="J22" s="4">
        <v>2015</v>
      </c>
      <c r="K22" s="4">
        <v>2016</v>
      </c>
      <c r="L22" s="4">
        <v>2017</v>
      </c>
      <c r="M22" s="4">
        <v>2018</v>
      </c>
      <c r="N22" s="4">
        <v>2019</v>
      </c>
      <c r="O22" s="4">
        <v>2020</v>
      </c>
      <c r="P22" s="4">
        <v>2021</v>
      </c>
      <c r="Q22" s="4">
        <v>2022</v>
      </c>
    </row>
    <row r="23" spans="1:83" s="159" customFormat="1" ht="28.8" customHeight="1">
      <c r="A23" s="5" t="s">
        <v>294</v>
      </c>
      <c r="B23" s="357" t="s">
        <v>471</v>
      </c>
      <c r="C23" s="358" t="s">
        <v>473</v>
      </c>
      <c r="D23" s="155" t="s">
        <v>285</v>
      </c>
      <c r="E23" s="158"/>
      <c r="F23" s="158"/>
      <c r="G23" s="158"/>
      <c r="H23" s="158"/>
      <c r="I23" s="158"/>
      <c r="J23" s="158">
        <v>250.0051657470471</v>
      </c>
      <c r="K23" s="158">
        <v>264.20810465162884</v>
      </c>
      <c r="L23" s="158">
        <v>270.78811357793211</v>
      </c>
      <c r="M23" s="158">
        <v>283.86941859126551</v>
      </c>
      <c r="N23" s="158">
        <v>282.98645371929399</v>
      </c>
      <c r="O23" s="158">
        <v>291.40171771524166</v>
      </c>
      <c r="P23" s="158">
        <v>301.17537366167443</v>
      </c>
      <c r="Q23" s="158">
        <v>256.58128914884259</v>
      </c>
    </row>
    <row r="24" spans="1:83" s="159" customFormat="1" ht="32.4" customHeight="1">
      <c r="A24" s="5" t="s">
        <v>297</v>
      </c>
      <c r="B24" s="357"/>
      <c r="C24" s="358"/>
      <c r="D24" s="155" t="s">
        <v>285</v>
      </c>
      <c r="E24" s="158"/>
      <c r="F24" s="158"/>
      <c r="G24" s="158"/>
      <c r="H24" s="158"/>
      <c r="I24" s="158"/>
      <c r="J24" s="158">
        <v>1332.7098931655319</v>
      </c>
      <c r="K24" s="158">
        <v>1396.3004985122634</v>
      </c>
      <c r="L24" s="158">
        <v>1492.7472399006622</v>
      </c>
      <c r="M24" s="158">
        <v>1623.6083416697541</v>
      </c>
      <c r="N24" s="158">
        <v>1612.1394164262183</v>
      </c>
      <c r="O24" s="158">
        <v>1632.0150844614841</v>
      </c>
      <c r="P24" s="158">
        <v>1755.049103617449</v>
      </c>
      <c r="Q24" s="158">
        <v>1520.3811661266404</v>
      </c>
    </row>
    <row r="25" spans="1:83">
      <c r="J25" s="294"/>
      <c r="K25" s="294"/>
      <c r="L25" s="294"/>
      <c r="M25" s="294"/>
      <c r="N25" s="294"/>
      <c r="O25" s="294"/>
      <c r="P25" s="294"/>
      <c r="Q25" s="294"/>
    </row>
    <row r="26" spans="1:83">
      <c r="E26" s="280"/>
      <c r="F26" s="280"/>
      <c r="G26" s="280"/>
      <c r="H26" s="280"/>
      <c r="I26" s="280"/>
      <c r="J26" s="280"/>
      <c r="K26" s="280"/>
      <c r="L26" s="280"/>
      <c r="M26" s="280"/>
      <c r="N26" s="280"/>
      <c r="O26" s="280"/>
      <c r="P26" s="280"/>
      <c r="Q26" s="280"/>
    </row>
    <row r="27" spans="1:83" ht="14.4" thickBot="1">
      <c r="A27" s="160" t="s">
        <v>298</v>
      </c>
    </row>
    <row r="28" spans="1:83">
      <c r="B28" s="4" t="s">
        <v>20</v>
      </c>
      <c r="C28" s="4" t="s">
        <v>21</v>
      </c>
      <c r="D28" s="4" t="s">
        <v>22</v>
      </c>
      <c r="E28" s="4">
        <v>2010</v>
      </c>
      <c r="F28" s="4">
        <v>2011</v>
      </c>
      <c r="G28" s="4">
        <v>2012</v>
      </c>
      <c r="H28" s="4">
        <v>2013</v>
      </c>
      <c r="I28" s="4">
        <v>2014</v>
      </c>
      <c r="J28" s="4">
        <v>2015</v>
      </c>
      <c r="K28" s="4">
        <v>2016</v>
      </c>
      <c r="L28" s="4">
        <v>2017</v>
      </c>
      <c r="M28" s="4">
        <v>2018</v>
      </c>
      <c r="N28" s="4">
        <v>2019</v>
      </c>
      <c r="O28" s="4">
        <v>2020</v>
      </c>
      <c r="P28" s="4">
        <v>2021</v>
      </c>
      <c r="Q28" s="4">
        <v>2022</v>
      </c>
    </row>
    <row r="29" spans="1:83" ht="41.4" customHeight="1">
      <c r="A29" s="5" t="s">
        <v>298</v>
      </c>
      <c r="B29" s="152" t="s">
        <v>299</v>
      </c>
      <c r="C29" s="163" t="s">
        <v>474</v>
      </c>
      <c r="D29" s="155" t="s">
        <v>112</v>
      </c>
      <c r="E29" s="69">
        <v>0.35950000000000004</v>
      </c>
      <c r="F29" s="69">
        <v>0.36125000000000002</v>
      </c>
      <c r="G29" s="69">
        <v>0.38737499999999997</v>
      </c>
      <c r="H29" s="69">
        <v>0.37424999999999997</v>
      </c>
      <c r="I29" s="69">
        <v>0.41287499999999999</v>
      </c>
      <c r="J29" s="69">
        <v>0.40125</v>
      </c>
      <c r="K29" s="69">
        <v>0.37825000000000003</v>
      </c>
      <c r="L29" s="69">
        <v>0.35112499999999996</v>
      </c>
      <c r="M29" s="69">
        <v>0.36012500000000003</v>
      </c>
      <c r="N29" s="69">
        <v>0.37112499999999998</v>
      </c>
      <c r="O29" s="69">
        <v>0.36612500000000003</v>
      </c>
      <c r="P29" s="69">
        <v>0.37587499999999996</v>
      </c>
      <c r="Q29" s="69">
        <v>0.39087499999999997</v>
      </c>
    </row>
    <row r="30" spans="1:83">
      <c r="A30" s="164"/>
      <c r="B30" s="165"/>
      <c r="C30" s="166"/>
      <c r="D30" s="167"/>
      <c r="E30" s="167"/>
      <c r="F30" s="167"/>
      <c r="G30" s="167"/>
      <c r="H30" s="167"/>
      <c r="I30" s="167"/>
      <c r="J30" s="167"/>
      <c r="K30" s="167"/>
      <c r="L30" s="167"/>
      <c r="M30" s="167"/>
      <c r="N30" s="167"/>
      <c r="O30" s="167"/>
      <c r="P30" s="167"/>
      <c r="Q30" s="167"/>
    </row>
    <row r="31" spans="1:83">
      <c r="A31" s="164"/>
      <c r="B31" s="165"/>
      <c r="C31" s="166"/>
      <c r="D31" s="167"/>
      <c r="E31" s="167"/>
      <c r="F31" s="167"/>
      <c r="G31" s="167"/>
      <c r="H31" s="167"/>
      <c r="I31" s="167"/>
      <c r="J31" s="159"/>
      <c r="K31" s="159"/>
      <c r="L31" s="159"/>
      <c r="M31" s="159"/>
      <c r="N31" s="159"/>
      <c r="O31" s="159"/>
      <c r="P31" s="159"/>
      <c r="Q31" s="159"/>
    </row>
    <row r="32" spans="1:83" ht="14.4" thickBot="1">
      <c r="A32" s="160" t="s">
        <v>301</v>
      </c>
    </row>
    <row r="33" spans="1:17" ht="25.2" customHeight="1">
      <c r="B33" s="4" t="s">
        <v>20</v>
      </c>
      <c r="C33" s="4" t="s">
        <v>21</v>
      </c>
      <c r="D33" s="4" t="s">
        <v>22</v>
      </c>
      <c r="E33" s="4">
        <v>2010</v>
      </c>
      <c r="F33" s="4">
        <v>2011</v>
      </c>
      <c r="G33" s="4">
        <v>2012</v>
      </c>
      <c r="H33" s="4">
        <v>2013</v>
      </c>
      <c r="I33" s="4">
        <v>2014</v>
      </c>
      <c r="J33" s="4">
        <v>2015</v>
      </c>
      <c r="K33" s="4">
        <v>2016</v>
      </c>
      <c r="L33" s="4">
        <v>2017</v>
      </c>
      <c r="M33" s="4">
        <v>2018</v>
      </c>
      <c r="N33" s="4">
        <v>2019</v>
      </c>
      <c r="O33" s="4">
        <v>2020</v>
      </c>
      <c r="P33" s="4">
        <v>2021</v>
      </c>
      <c r="Q33" s="4">
        <v>2022</v>
      </c>
    </row>
    <row r="34" spans="1:17" ht="49.2" customHeight="1">
      <c r="A34" s="5" t="s">
        <v>301</v>
      </c>
      <c r="B34" s="152" t="s">
        <v>475</v>
      </c>
      <c r="C34" s="163" t="s">
        <v>303</v>
      </c>
      <c r="D34" s="155" t="s">
        <v>285</v>
      </c>
      <c r="E34" s="169">
        <f t="shared" ref="E34:Q34" si="2">E9*E29</f>
        <v>591.52849743951322</v>
      </c>
      <c r="F34" s="169">
        <f t="shared" si="2"/>
        <v>676.48701528303673</v>
      </c>
      <c r="G34" s="169">
        <f t="shared" si="2"/>
        <v>693.02191753178045</v>
      </c>
      <c r="H34" s="169">
        <f t="shared" si="2"/>
        <v>715.47396236735619</v>
      </c>
      <c r="I34" s="169">
        <f t="shared" si="2"/>
        <v>850.59384467253403</v>
      </c>
      <c r="J34" s="169">
        <f t="shared" si="2"/>
        <v>757.8735090089109</v>
      </c>
      <c r="K34" s="169">
        <f t="shared" si="2"/>
        <v>752.37572849207686</v>
      </c>
      <c r="L34" s="169">
        <f t="shared" si="2"/>
        <v>747.60190276251922</v>
      </c>
      <c r="M34" s="169">
        <f t="shared" si="2"/>
        <v>832.71097915188841</v>
      </c>
      <c r="N34" s="169">
        <f t="shared" si="2"/>
        <v>856.52757448852685</v>
      </c>
      <c r="O34" s="169">
        <f t="shared" si="2"/>
        <v>856.73266958194017</v>
      </c>
      <c r="P34" s="169">
        <f t="shared" si="2"/>
        <v>948.67963184506789</v>
      </c>
      <c r="Q34" s="169">
        <f t="shared" si="2"/>
        <v>854.18324731642952</v>
      </c>
    </row>
    <row r="37" spans="1:17" ht="14.4" thickBot="1">
      <c r="A37" s="160" t="s">
        <v>304</v>
      </c>
    </row>
    <row r="38" spans="1:17">
      <c r="B38" s="4" t="s">
        <v>20</v>
      </c>
      <c r="C38" s="4" t="s">
        <v>21</v>
      </c>
      <c r="D38" s="4" t="s">
        <v>22</v>
      </c>
      <c r="E38" s="4">
        <v>2010</v>
      </c>
      <c r="F38" s="4">
        <v>2011</v>
      </c>
      <c r="G38" s="4">
        <v>2012</v>
      </c>
      <c r="H38" s="4">
        <v>2013</v>
      </c>
      <c r="I38" s="4">
        <v>2014</v>
      </c>
      <c r="J38" s="4">
        <v>2015</v>
      </c>
      <c r="K38" s="4">
        <v>2016</v>
      </c>
      <c r="L38" s="4">
        <v>2017</v>
      </c>
      <c r="M38" s="4">
        <v>2018</v>
      </c>
      <c r="N38" s="4">
        <v>2019</v>
      </c>
      <c r="O38" s="4">
        <v>2020</v>
      </c>
      <c r="P38" s="4">
        <v>2021</v>
      </c>
      <c r="Q38" s="4">
        <v>2022</v>
      </c>
    </row>
    <row r="39" spans="1:17" ht="21" customHeight="1">
      <c r="A39" s="393" t="s">
        <v>305</v>
      </c>
      <c r="B39" s="357" t="s">
        <v>299</v>
      </c>
      <c r="C39" s="358" t="s">
        <v>306</v>
      </c>
      <c r="D39" s="155" t="s">
        <v>112</v>
      </c>
      <c r="E39" s="69">
        <f>1-E29</f>
        <v>0.64049999999999996</v>
      </c>
      <c r="F39" s="69">
        <f t="shared" ref="F39:Q39" si="3">1-F29</f>
        <v>0.63874999999999993</v>
      </c>
      <c r="G39" s="69">
        <f t="shared" si="3"/>
        <v>0.61262499999999998</v>
      </c>
      <c r="H39" s="69">
        <f t="shared" si="3"/>
        <v>0.62575000000000003</v>
      </c>
      <c r="I39" s="69">
        <f t="shared" si="3"/>
        <v>0.58712500000000001</v>
      </c>
      <c r="J39" s="69">
        <f t="shared" si="3"/>
        <v>0.59875</v>
      </c>
      <c r="K39" s="69">
        <f t="shared" si="3"/>
        <v>0.62175000000000002</v>
      </c>
      <c r="L39" s="69">
        <f t="shared" si="3"/>
        <v>0.64887500000000009</v>
      </c>
      <c r="M39" s="69">
        <f t="shared" si="3"/>
        <v>0.63987499999999997</v>
      </c>
      <c r="N39" s="69">
        <f t="shared" si="3"/>
        <v>0.62887500000000007</v>
      </c>
      <c r="O39" s="69">
        <f t="shared" si="3"/>
        <v>0.63387499999999997</v>
      </c>
      <c r="P39" s="69">
        <f t="shared" si="3"/>
        <v>0.62412500000000004</v>
      </c>
      <c r="Q39" s="69">
        <f t="shared" si="3"/>
        <v>0.60912500000000003</v>
      </c>
    </row>
    <row r="40" spans="1:17" ht="21" customHeight="1">
      <c r="A40" s="393"/>
      <c r="B40" s="357"/>
      <c r="C40" s="358"/>
      <c r="D40" s="155" t="s">
        <v>285</v>
      </c>
      <c r="E40" s="158">
        <f>E39*E9</f>
        <v>1053.8915232545428</v>
      </c>
      <c r="F40" s="158">
        <f t="shared" ref="F40:Q40" si="4">F39*F9</f>
        <v>1196.1414007253693</v>
      </c>
      <c r="G40" s="158">
        <f t="shared" si="4"/>
        <v>1095.9988440862394</v>
      </c>
      <c r="H40" s="158">
        <f t="shared" si="4"/>
        <v>1196.2801120945176</v>
      </c>
      <c r="I40" s="158">
        <f t="shared" si="4"/>
        <v>1209.5789550187383</v>
      </c>
      <c r="J40" s="158">
        <f t="shared" si="4"/>
        <v>1130.9078218544184</v>
      </c>
      <c r="K40" s="158">
        <f t="shared" si="4"/>
        <v>1236.720711672039</v>
      </c>
      <c r="L40" s="158">
        <f t="shared" si="4"/>
        <v>1381.5597996583263</v>
      </c>
      <c r="M40" s="158">
        <f t="shared" si="4"/>
        <v>1479.572197944643</v>
      </c>
      <c r="N40" s="158">
        <f t="shared" si="4"/>
        <v>1451.394485433405</v>
      </c>
      <c r="O40" s="158">
        <f t="shared" si="4"/>
        <v>1483.2677935985039</v>
      </c>
      <c r="P40" s="158">
        <f t="shared" si="4"/>
        <v>1575.2435656143748</v>
      </c>
      <c r="Q40" s="158">
        <f t="shared" si="4"/>
        <v>1331.1272670844137</v>
      </c>
    </row>
    <row r="43" spans="1:17" ht="14.4" thickBot="1">
      <c r="A43" s="160" t="s">
        <v>307</v>
      </c>
    </row>
    <row r="44" spans="1:17">
      <c r="B44" s="4" t="s">
        <v>20</v>
      </c>
      <c r="C44" s="4" t="s">
        <v>21</v>
      </c>
      <c r="D44" s="4" t="s">
        <v>22</v>
      </c>
      <c r="E44" s="4">
        <v>2010</v>
      </c>
      <c r="F44" s="4">
        <v>2011</v>
      </c>
      <c r="G44" s="4">
        <v>2012</v>
      </c>
      <c r="H44" s="4">
        <v>2013</v>
      </c>
      <c r="I44" s="4">
        <v>2014</v>
      </c>
      <c r="J44" s="4">
        <v>2015</v>
      </c>
      <c r="K44" s="4">
        <v>2016</v>
      </c>
      <c r="L44" s="4">
        <v>2017</v>
      </c>
      <c r="M44" s="4">
        <v>2018</v>
      </c>
      <c r="N44" s="4">
        <v>2019</v>
      </c>
      <c r="O44" s="4">
        <v>2020</v>
      </c>
      <c r="P44" s="4">
        <v>2021</v>
      </c>
      <c r="Q44" s="4">
        <v>2022</v>
      </c>
    </row>
    <row r="45" spans="1:17" ht="67.8" customHeight="1">
      <c r="A45" s="5" t="s">
        <v>448</v>
      </c>
      <c r="B45" s="152" t="s">
        <v>471</v>
      </c>
      <c r="C45" s="153" t="s">
        <v>309</v>
      </c>
      <c r="D45" s="155" t="s">
        <v>285</v>
      </c>
      <c r="E45" s="158"/>
      <c r="F45" s="158"/>
      <c r="G45" s="158"/>
      <c r="H45" s="158"/>
      <c r="I45" s="158"/>
      <c r="J45" s="158">
        <v>448.01069656602556</v>
      </c>
      <c r="K45" s="158">
        <v>503.72943238930156</v>
      </c>
      <c r="L45" s="158">
        <v>504.5544472052768</v>
      </c>
      <c r="M45" s="158">
        <v>525.31152136608182</v>
      </c>
      <c r="N45" s="158">
        <v>550.79408597757731</v>
      </c>
      <c r="O45" s="158">
        <v>532.58098016077997</v>
      </c>
      <c r="P45" s="158">
        <v>590.37170806178085</v>
      </c>
      <c r="Q45" s="158">
        <v>497.2367267673792</v>
      </c>
    </row>
    <row r="48" spans="1:17" ht="14.4" thickBot="1">
      <c r="A48" s="160" t="s">
        <v>310</v>
      </c>
    </row>
    <row r="49" spans="1:17">
      <c r="B49" s="4" t="s">
        <v>20</v>
      </c>
      <c r="C49" s="4" t="s">
        <v>21</v>
      </c>
      <c r="D49" s="4" t="s">
        <v>22</v>
      </c>
      <c r="E49" s="4">
        <v>2010</v>
      </c>
      <c r="F49" s="4">
        <v>2011</v>
      </c>
      <c r="G49" s="4">
        <v>2012</v>
      </c>
      <c r="H49" s="4">
        <v>2013</v>
      </c>
      <c r="I49" s="4">
        <v>2014</v>
      </c>
      <c r="J49" s="4">
        <v>2015</v>
      </c>
      <c r="K49" s="4">
        <v>2016</v>
      </c>
      <c r="L49" s="4">
        <v>2017</v>
      </c>
      <c r="M49" s="4">
        <v>2018</v>
      </c>
      <c r="N49" s="4">
        <v>2019</v>
      </c>
      <c r="O49" s="4">
        <v>2020</v>
      </c>
      <c r="P49" s="4">
        <v>2021</v>
      </c>
      <c r="Q49" s="4">
        <v>2022</v>
      </c>
    </row>
    <row r="50" spans="1:17" ht="64.2" customHeight="1">
      <c r="A50" s="5" t="s">
        <v>310</v>
      </c>
      <c r="B50" s="152" t="s">
        <v>476</v>
      </c>
      <c r="C50" s="170" t="s">
        <v>311</v>
      </c>
      <c r="D50" s="155" t="s">
        <v>285</v>
      </c>
      <c r="E50" s="158"/>
      <c r="F50" s="158"/>
      <c r="G50" s="158"/>
      <c r="H50" s="158"/>
      <c r="I50" s="158"/>
      <c r="J50" s="158">
        <v>6851.867818536919</v>
      </c>
      <c r="K50" s="158">
        <v>7561.1882363209097</v>
      </c>
      <c r="L50" s="158">
        <v>8231.027422357909</v>
      </c>
      <c r="M50" s="158">
        <v>8973.636289770413</v>
      </c>
      <c r="N50" s="158">
        <v>9869.8199703348982</v>
      </c>
      <c r="O50" s="158">
        <v>10755</v>
      </c>
      <c r="P50" s="158">
        <v>11477</v>
      </c>
      <c r="Q50" s="158">
        <v>12421</v>
      </c>
    </row>
    <row r="53" spans="1:17" ht="14.4" thickBot="1">
      <c r="A53" s="160" t="s">
        <v>312</v>
      </c>
    </row>
    <row r="54" spans="1:17">
      <c r="B54" s="4" t="s">
        <v>20</v>
      </c>
      <c r="C54" s="4" t="s">
        <v>21</v>
      </c>
      <c r="D54" s="4" t="s">
        <v>22</v>
      </c>
      <c r="E54" s="4">
        <v>2010</v>
      </c>
      <c r="F54" s="4">
        <v>2011</v>
      </c>
      <c r="G54" s="4">
        <v>2012</v>
      </c>
      <c r="H54" s="4">
        <v>2013</v>
      </c>
      <c r="I54" s="4">
        <v>2014</v>
      </c>
      <c r="J54" s="4">
        <v>2015</v>
      </c>
      <c r="K54" s="4">
        <v>2016</v>
      </c>
      <c r="L54" s="4">
        <v>2017</v>
      </c>
      <c r="M54" s="4">
        <v>2018</v>
      </c>
      <c r="N54" s="4">
        <v>2019</v>
      </c>
      <c r="O54" s="4">
        <v>2020</v>
      </c>
      <c r="P54" s="4">
        <v>2021</v>
      </c>
      <c r="Q54" s="4">
        <v>2022</v>
      </c>
    </row>
    <row r="55" spans="1:17" ht="31.2" customHeight="1">
      <c r="A55" s="5" t="s">
        <v>313</v>
      </c>
      <c r="B55" s="394" t="s">
        <v>471</v>
      </c>
      <c r="C55" s="171" t="s">
        <v>449</v>
      </c>
      <c r="D55" s="155" t="s">
        <v>285</v>
      </c>
      <c r="E55" s="158">
        <f>E8</f>
        <v>0</v>
      </c>
      <c r="F55" s="158">
        <f t="shared" ref="F55:Q55" si="5">F8</f>
        <v>0</v>
      </c>
      <c r="G55" s="158">
        <f t="shared" si="5"/>
        <v>0</v>
      </c>
      <c r="H55" s="158">
        <f t="shared" si="5"/>
        <v>0</v>
      </c>
      <c r="I55" s="158">
        <f t="shared" si="5"/>
        <v>0</v>
      </c>
      <c r="J55" s="158">
        <f t="shared" si="5"/>
        <v>134.18736018912972</v>
      </c>
      <c r="K55" s="158">
        <f t="shared" si="5"/>
        <v>149.69585249854686</v>
      </c>
      <c r="L55" s="158">
        <f t="shared" si="5"/>
        <v>167.53151204291532</v>
      </c>
      <c r="M55" s="158">
        <f t="shared" si="5"/>
        <v>159.79688488463188</v>
      </c>
      <c r="N55" s="158">
        <f t="shared" si="5"/>
        <v>173.33701325482855</v>
      </c>
      <c r="O55" s="158">
        <f t="shared" si="5"/>
        <v>189.50674934677826</v>
      </c>
      <c r="P55" s="158">
        <f t="shared" si="5"/>
        <v>219.90144130015176</v>
      </c>
      <c r="Q55" s="158">
        <f t="shared" si="5"/>
        <v>197.29899813358367</v>
      </c>
    </row>
    <row r="56" spans="1:17" ht="27.6" customHeight="1">
      <c r="A56" s="5" t="s">
        <v>315</v>
      </c>
      <c r="B56" s="395"/>
      <c r="C56" s="170" t="s">
        <v>316</v>
      </c>
      <c r="D56" s="155" t="s">
        <v>112</v>
      </c>
      <c r="E56" s="69">
        <f t="shared" ref="E56:H56" si="6">E55/E9</f>
        <v>0</v>
      </c>
      <c r="F56" s="69">
        <f t="shared" si="6"/>
        <v>0</v>
      </c>
      <c r="G56" s="69">
        <f t="shared" si="6"/>
        <v>0</v>
      </c>
      <c r="H56" s="69">
        <f t="shared" si="6"/>
        <v>0</v>
      </c>
      <c r="I56" s="69">
        <f>I55/I9</f>
        <v>0</v>
      </c>
      <c r="J56" s="69">
        <v>0.10190270992018936</v>
      </c>
      <c r="K56" s="69">
        <v>0.10046709949008054</v>
      </c>
      <c r="L56" s="69">
        <v>0.10033668830878872</v>
      </c>
      <c r="M56" s="69">
        <v>9.9330383411396425E-2</v>
      </c>
      <c r="N56" s="69">
        <v>9.9045430440162632E-2</v>
      </c>
      <c r="O56" s="69">
        <v>9.338440284761286E-2</v>
      </c>
      <c r="P56" s="69">
        <v>9.6248221432733941E-2</v>
      </c>
      <c r="Q56" s="69">
        <v>9.6027541438575684E-2</v>
      </c>
    </row>
    <row r="59" spans="1:17" ht="14.4" thickBot="1">
      <c r="A59" s="160" t="s">
        <v>317</v>
      </c>
    </row>
    <row r="60" spans="1:17">
      <c r="B60" s="4" t="s">
        <v>20</v>
      </c>
      <c r="C60" s="4" t="s">
        <v>21</v>
      </c>
      <c r="D60" s="4" t="s">
        <v>22</v>
      </c>
      <c r="E60" s="4">
        <v>2010</v>
      </c>
      <c r="F60" s="4">
        <v>2011</v>
      </c>
      <c r="G60" s="4">
        <v>2012</v>
      </c>
      <c r="H60" s="4">
        <v>2013</v>
      </c>
      <c r="I60" s="4">
        <v>2014</v>
      </c>
      <c r="J60" s="4">
        <v>2015</v>
      </c>
      <c r="K60" s="4">
        <v>2016</v>
      </c>
      <c r="L60" s="4">
        <v>2017</v>
      </c>
      <c r="M60" s="4">
        <v>2018</v>
      </c>
      <c r="N60" s="4">
        <v>2019</v>
      </c>
      <c r="O60" s="4">
        <v>2020</v>
      </c>
      <c r="P60" s="4">
        <v>2021</v>
      </c>
      <c r="Q60" s="4">
        <v>2022</v>
      </c>
    </row>
    <row r="61" spans="1:17" ht="57.6" customHeight="1">
      <c r="A61" s="5" t="s">
        <v>317</v>
      </c>
      <c r="B61" s="152" t="s">
        <v>471</v>
      </c>
      <c r="C61" s="163" t="s">
        <v>450</v>
      </c>
      <c r="D61" s="155" t="s">
        <v>285</v>
      </c>
      <c r="E61" s="69"/>
      <c r="F61" s="69"/>
      <c r="G61" s="69"/>
      <c r="H61" s="69"/>
      <c r="I61" s="69"/>
      <c r="J61" s="69">
        <v>-183.04808585422862</v>
      </c>
      <c r="K61" s="69">
        <v>-228.98769213682351</v>
      </c>
      <c r="L61" s="69">
        <v>-185.93434702813067</v>
      </c>
      <c r="M61" s="69">
        <v>-178.25075461417055</v>
      </c>
      <c r="N61" s="69">
        <v>-202.55219573054674</v>
      </c>
      <c r="O61" s="69">
        <v>36.866995360630455</v>
      </c>
      <c r="P61" s="69">
        <v>-146.34916174719044</v>
      </c>
      <c r="Q61" s="69">
        <v>-136.92244102853186</v>
      </c>
    </row>
    <row r="64" spans="1:17" ht="14.4" thickBot="1">
      <c r="A64" s="160" t="s">
        <v>319</v>
      </c>
    </row>
    <row r="65" spans="1:17">
      <c r="B65" s="4" t="s">
        <v>20</v>
      </c>
      <c r="C65" s="4" t="s">
        <v>21</v>
      </c>
      <c r="D65" s="4" t="s">
        <v>22</v>
      </c>
      <c r="E65" s="4">
        <v>2010</v>
      </c>
      <c r="F65" s="4">
        <v>2011</v>
      </c>
      <c r="G65" s="4">
        <v>2012</v>
      </c>
      <c r="H65" s="4">
        <v>2013</v>
      </c>
      <c r="I65" s="4">
        <v>2014</v>
      </c>
      <c r="J65" s="4">
        <v>2015</v>
      </c>
      <c r="K65" s="4">
        <v>2016</v>
      </c>
      <c r="L65" s="4">
        <v>2017</v>
      </c>
      <c r="M65" s="4">
        <v>2018</v>
      </c>
      <c r="N65" s="4">
        <v>2019</v>
      </c>
      <c r="O65" s="4">
        <v>2020</v>
      </c>
      <c r="P65" s="4">
        <v>2021</v>
      </c>
      <c r="Q65" s="4">
        <v>2022</v>
      </c>
    </row>
    <row r="66" spans="1:17" ht="49.8" customHeight="1">
      <c r="A66" s="5" t="s">
        <v>319</v>
      </c>
      <c r="B66" s="152" t="s">
        <v>477</v>
      </c>
      <c r="C66" s="170" t="s">
        <v>320</v>
      </c>
      <c r="D66" s="155" t="s">
        <v>112</v>
      </c>
      <c r="E66" s="172">
        <v>0.11863308057116537</v>
      </c>
      <c r="F66" s="69" t="e">
        <f t="shared" ref="F66:Q66" si="7">(F50-E50)/E50</f>
        <v>#DIV/0!</v>
      </c>
      <c r="G66" s="69" t="e">
        <f t="shared" si="7"/>
        <v>#DIV/0!</v>
      </c>
      <c r="H66" s="69" t="e">
        <f t="shared" si="7"/>
        <v>#DIV/0!</v>
      </c>
      <c r="I66" s="69" t="e">
        <f t="shared" si="7"/>
        <v>#DIV/0!</v>
      </c>
      <c r="J66" s="69">
        <v>0.1</v>
      </c>
      <c r="K66" s="69">
        <f t="shared" si="7"/>
        <v>0.10352219811727952</v>
      </c>
      <c r="L66" s="69">
        <f t="shared" si="7"/>
        <v>8.8589143015824032E-2</v>
      </c>
      <c r="M66" s="69">
        <f t="shared" si="7"/>
        <v>9.0220677116851569E-2</v>
      </c>
      <c r="N66" s="69">
        <f t="shared" si="7"/>
        <v>9.9868509445396048E-2</v>
      </c>
      <c r="O66" s="69">
        <f t="shared" si="7"/>
        <v>8.9685529455008517E-2</v>
      </c>
      <c r="P66" s="69">
        <f t="shared" si="7"/>
        <v>6.7131566713156676E-2</v>
      </c>
      <c r="Q66" s="69">
        <f t="shared" si="7"/>
        <v>8.2251459440620373E-2</v>
      </c>
    </row>
    <row r="69" spans="1:17" ht="14.4" thickBot="1">
      <c r="A69" s="160" t="s">
        <v>321</v>
      </c>
    </row>
    <row r="70" spans="1:17">
      <c r="B70" s="4" t="s">
        <v>20</v>
      </c>
      <c r="C70" s="4" t="s">
        <v>21</v>
      </c>
      <c r="D70" s="4" t="s">
        <v>22</v>
      </c>
      <c r="E70" s="4">
        <v>2010</v>
      </c>
      <c r="F70" s="4">
        <v>2011</v>
      </c>
      <c r="G70" s="4">
        <v>2012</v>
      </c>
      <c r="H70" s="4">
        <v>2013</v>
      </c>
      <c r="I70" s="4">
        <v>2014</v>
      </c>
      <c r="J70" s="4">
        <v>2015</v>
      </c>
      <c r="K70" s="4">
        <v>2016</v>
      </c>
      <c r="L70" s="4">
        <v>2017</v>
      </c>
      <c r="M70" s="4">
        <v>2018</v>
      </c>
      <c r="N70" s="4">
        <v>2019</v>
      </c>
      <c r="O70" s="4">
        <v>2020</v>
      </c>
      <c r="P70" s="4">
        <v>2021</v>
      </c>
      <c r="Q70" s="4">
        <v>2022</v>
      </c>
    </row>
    <row r="71" spans="1:17" ht="39" customHeight="1">
      <c r="A71" s="5" t="s">
        <v>321</v>
      </c>
      <c r="B71" s="152" t="s">
        <v>458</v>
      </c>
      <c r="C71" s="170" t="s">
        <v>322</v>
      </c>
      <c r="D71" s="155" t="s">
        <v>285</v>
      </c>
      <c r="E71" s="158"/>
      <c r="F71" s="158"/>
      <c r="G71" s="158"/>
      <c r="H71" s="158"/>
      <c r="I71" s="158"/>
      <c r="J71" s="158">
        <v>1018.0520555546851</v>
      </c>
      <c r="K71" s="158">
        <v>1080.1607556080694</v>
      </c>
      <c r="L71" s="158">
        <v>1212.5560730996483</v>
      </c>
      <c r="M71" s="158">
        <v>1302.6940962625386</v>
      </c>
      <c r="N71" s="158">
        <v>1297.3279895835803</v>
      </c>
      <c r="O71" s="158">
        <v>1322.0050151715873</v>
      </c>
      <c r="P71" s="158">
        <v>1374.2578217702437</v>
      </c>
      <c r="Q71" s="158">
        <v>1239.5876476062863</v>
      </c>
    </row>
    <row r="74" spans="1:17" ht="14.4" thickBot="1">
      <c r="A74" s="160" t="s">
        <v>323</v>
      </c>
    </row>
    <row r="75" spans="1:17">
      <c r="B75" s="4" t="s">
        <v>20</v>
      </c>
      <c r="C75" s="4" t="s">
        <v>21</v>
      </c>
      <c r="D75" s="4" t="s">
        <v>22</v>
      </c>
      <c r="E75" s="4">
        <v>2010</v>
      </c>
      <c r="F75" s="4">
        <v>2011</v>
      </c>
      <c r="G75" s="4">
        <v>2012</v>
      </c>
      <c r="H75" s="4">
        <v>2013</v>
      </c>
      <c r="I75" s="4">
        <v>2014</v>
      </c>
      <c r="J75" s="4">
        <v>2015</v>
      </c>
      <c r="K75" s="4">
        <v>2016</v>
      </c>
      <c r="L75" s="4">
        <v>2017</v>
      </c>
      <c r="M75" s="4">
        <v>2018</v>
      </c>
      <c r="N75" s="4">
        <v>2019</v>
      </c>
      <c r="O75" s="4">
        <v>2020</v>
      </c>
      <c r="P75" s="4">
        <v>2021</v>
      </c>
      <c r="Q75" s="4">
        <v>2022</v>
      </c>
    </row>
    <row r="76" spans="1:17" ht="34.200000000000003" customHeight="1">
      <c r="A76" s="5" t="s">
        <v>324</v>
      </c>
      <c r="B76" s="394" t="s">
        <v>471</v>
      </c>
      <c r="C76" s="171" t="s">
        <v>325</v>
      </c>
      <c r="D76" s="155" t="s">
        <v>285</v>
      </c>
      <c r="E76" s="172">
        <v>-6.7040642259646752</v>
      </c>
      <c r="F76" s="69">
        <f>E50-F50+F45</f>
        <v>0</v>
      </c>
      <c r="G76" s="69">
        <f t="shared" ref="G76:Q76" si="8">F50-G50+G45</f>
        <v>0</v>
      </c>
      <c r="H76" s="69">
        <f t="shared" si="8"/>
        <v>0</v>
      </c>
      <c r="I76" s="69">
        <f t="shared" si="8"/>
        <v>0</v>
      </c>
      <c r="J76" s="69">
        <f t="shared" si="8"/>
        <v>-6403.8571219708938</v>
      </c>
      <c r="K76" s="69">
        <f t="shared" si="8"/>
        <v>-205.59098539468914</v>
      </c>
      <c r="L76" s="69">
        <f t="shared" si="8"/>
        <v>-165.28473883172251</v>
      </c>
      <c r="M76" s="69">
        <f t="shared" si="8"/>
        <v>-217.29734604642215</v>
      </c>
      <c r="N76" s="69">
        <f t="shared" si="8"/>
        <v>-345.38959458690795</v>
      </c>
      <c r="O76" s="69">
        <f t="shared" si="8"/>
        <v>-352.59904950432178</v>
      </c>
      <c r="P76" s="69">
        <f t="shared" si="8"/>
        <v>-131.62829193821915</v>
      </c>
      <c r="Q76" s="69">
        <f t="shared" si="8"/>
        <v>-446.7632732326208</v>
      </c>
    </row>
    <row r="77" spans="1:17" ht="33" customHeight="1">
      <c r="A77" s="5" t="s">
        <v>323</v>
      </c>
      <c r="B77" s="395"/>
      <c r="C77" s="171" t="s">
        <v>326</v>
      </c>
      <c r="D77" s="155" t="s">
        <v>112</v>
      </c>
      <c r="E77" s="172" t="e">
        <f t="shared" ref="E77:H77" si="9">E76/E50</f>
        <v>#DIV/0!</v>
      </c>
      <c r="F77" s="172" t="e">
        <f t="shared" si="9"/>
        <v>#DIV/0!</v>
      </c>
      <c r="G77" s="172" t="e">
        <f t="shared" si="9"/>
        <v>#DIV/0!</v>
      </c>
      <c r="H77" s="172" t="e">
        <f t="shared" si="9"/>
        <v>#DIV/0!</v>
      </c>
      <c r="I77" s="172" t="e">
        <f>I76/I50</f>
        <v>#DIV/0!</v>
      </c>
      <c r="J77" s="69">
        <v>6.3487386660000006E-2</v>
      </c>
      <c r="K77" s="69">
        <v>6.1677386660879435E-2</v>
      </c>
      <c r="L77" s="69">
        <v>7.24314552583986E-2</v>
      </c>
      <c r="M77" s="69">
        <v>7.9097205484984195E-2</v>
      </c>
      <c r="N77" s="69">
        <v>7.3877932507202773E-2</v>
      </c>
      <c r="O77" s="69">
        <v>4.8527749786665735E-2</v>
      </c>
      <c r="P77" s="69">
        <v>6.3058260142579703E-2</v>
      </c>
      <c r="Q77" s="69">
        <v>8.0532242743315677E-2</v>
      </c>
    </row>
    <row r="80" spans="1:17" ht="14.4" thickBot="1"/>
    <row r="81" spans="1:2">
      <c r="A81" s="16" t="s">
        <v>20</v>
      </c>
      <c r="B81" s="4" t="s">
        <v>47</v>
      </c>
    </row>
    <row r="82" spans="1:2" ht="14.4">
      <c r="A82" s="123" t="s">
        <v>458</v>
      </c>
      <c r="B82" s="147" t="s">
        <v>478</v>
      </c>
    </row>
    <row r="83" spans="1:2" ht="27.6">
      <c r="A83" s="123" t="s">
        <v>479</v>
      </c>
      <c r="B83" s="147" t="s">
        <v>480</v>
      </c>
    </row>
    <row r="84" spans="1:2" ht="14.4">
      <c r="A84" s="123" t="s">
        <v>481</v>
      </c>
      <c r="B84" s="147" t="s">
        <v>482</v>
      </c>
    </row>
    <row r="85" spans="1:2" ht="14.4">
      <c r="A85" s="123" t="s">
        <v>299</v>
      </c>
      <c r="B85" s="147" t="s">
        <v>483</v>
      </c>
    </row>
    <row r="86" spans="1:2" ht="14.4">
      <c r="A86" s="123" t="s">
        <v>484</v>
      </c>
      <c r="B86" s="147" t="s">
        <v>485</v>
      </c>
    </row>
    <row r="87" spans="1:2" ht="14.4">
      <c r="A87" s="123" t="s">
        <v>476</v>
      </c>
      <c r="B87" s="147" t="s">
        <v>486</v>
      </c>
    </row>
  </sheetData>
  <mergeCells count="11">
    <mergeCell ref="B4:B9"/>
    <mergeCell ref="C4:C9"/>
    <mergeCell ref="B14:B18"/>
    <mergeCell ref="C14:C18"/>
    <mergeCell ref="B23:B24"/>
    <mergeCell ref="C23:C24"/>
    <mergeCell ref="A39:A40"/>
    <mergeCell ref="B39:B40"/>
    <mergeCell ref="C39:C40"/>
    <mergeCell ref="B55:B56"/>
    <mergeCell ref="B76:B77"/>
  </mergeCells>
  <hyperlinks>
    <hyperlink ref="B85" r:id="rId1" xr:uid="{C4000FB1-B159-4235-88EA-9C975E215572}"/>
    <hyperlink ref="B86" r:id="rId2" xr:uid="{1EFF31F5-68AF-4ABE-B24E-5CC4DA9355D1}"/>
    <hyperlink ref="B82" r:id="rId3" xr:uid="{76873115-7C6F-4EC7-9648-AE19CF769D8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9447-6FA1-452F-B36B-9AB9A0DA9A73}">
  <dimension ref="A2:DA348"/>
  <sheetViews>
    <sheetView zoomScale="70" zoomScaleNormal="70" workbookViewId="0">
      <selection activeCell="C347" sqref="C347"/>
    </sheetView>
  </sheetViews>
  <sheetFormatPr baseColWidth="10" defaultColWidth="9.77734375" defaultRowHeight="13.8"/>
  <cols>
    <col min="1" max="1" width="60.6640625" style="3" customWidth="1"/>
    <col min="2" max="2" width="25.5546875" style="3" customWidth="1"/>
    <col min="3" max="3" width="43.21875" style="3" bestFit="1" customWidth="1"/>
    <col min="4" max="4" width="57.21875" style="3" bestFit="1" customWidth="1"/>
    <col min="5" max="5" width="14" style="3" bestFit="1" customWidth="1"/>
    <col min="6" max="6" width="15.44140625" style="3" bestFit="1" customWidth="1"/>
    <col min="7" max="8" width="18.77734375" style="3" bestFit="1" customWidth="1"/>
    <col min="9" max="10" width="18.6640625" style="3" bestFit="1" customWidth="1"/>
    <col min="11" max="15" width="16.88671875" style="3" bestFit="1" customWidth="1"/>
    <col min="16" max="16" width="26.21875" style="3" bestFit="1" customWidth="1"/>
    <col min="17" max="70" width="16.88671875" style="3" bestFit="1" customWidth="1"/>
    <col min="71" max="85" width="15.77734375" style="3" bestFit="1" customWidth="1"/>
    <col min="86" max="106" width="14.6640625" style="3" bestFit="1" customWidth="1"/>
    <col min="107" max="16384" width="9.77734375" style="3"/>
  </cols>
  <sheetData>
    <row r="2" spans="1:8" ht="14.4" thickBot="1">
      <c r="A2" s="160" t="s">
        <v>329</v>
      </c>
    </row>
    <row r="3" spans="1:8">
      <c r="B3" s="4" t="s">
        <v>389</v>
      </c>
      <c r="C3" s="4">
        <v>2015</v>
      </c>
      <c r="D3" s="4">
        <v>2016</v>
      </c>
      <c r="E3" s="4">
        <v>2017</v>
      </c>
      <c r="F3" s="4">
        <v>2018</v>
      </c>
      <c r="G3" s="4">
        <v>2019</v>
      </c>
      <c r="H3" s="4">
        <v>2020</v>
      </c>
    </row>
    <row r="4" spans="1:8" ht="13.8" customHeight="1">
      <c r="A4" s="403" t="s">
        <v>330</v>
      </c>
      <c r="B4" s="295">
        <v>0</v>
      </c>
      <c r="C4" s="296">
        <v>0</v>
      </c>
      <c r="D4" s="296">
        <v>0</v>
      </c>
      <c r="E4" s="296">
        <v>0</v>
      </c>
      <c r="F4" s="296">
        <v>0</v>
      </c>
      <c r="G4" s="296">
        <v>0</v>
      </c>
      <c r="H4" s="296">
        <v>0</v>
      </c>
    </row>
    <row r="5" spans="1:8">
      <c r="A5" s="404"/>
      <c r="B5" s="295">
        <v>1</v>
      </c>
      <c r="C5" s="296">
        <v>0</v>
      </c>
      <c r="D5" s="296">
        <v>0</v>
      </c>
      <c r="E5" s="296">
        <v>0</v>
      </c>
      <c r="F5" s="296">
        <v>0</v>
      </c>
      <c r="G5" s="296">
        <v>0</v>
      </c>
      <c r="H5" s="296">
        <v>0</v>
      </c>
    </row>
    <row r="6" spans="1:8">
      <c r="A6" s="404"/>
      <c r="B6" s="295">
        <v>2</v>
      </c>
      <c r="C6" s="296">
        <v>0</v>
      </c>
      <c r="D6" s="296">
        <v>0</v>
      </c>
      <c r="E6" s="296">
        <v>0</v>
      </c>
      <c r="F6" s="296">
        <v>0</v>
      </c>
      <c r="G6" s="296">
        <v>0</v>
      </c>
      <c r="H6" s="296">
        <v>0</v>
      </c>
    </row>
    <row r="7" spans="1:8">
      <c r="A7" s="404"/>
      <c r="B7" s="295">
        <v>3</v>
      </c>
      <c r="C7" s="296">
        <v>0</v>
      </c>
      <c r="D7" s="296">
        <v>0</v>
      </c>
      <c r="E7" s="296">
        <v>0</v>
      </c>
      <c r="F7" s="296">
        <v>0</v>
      </c>
      <c r="G7" s="296">
        <v>0</v>
      </c>
      <c r="H7" s="296">
        <v>0</v>
      </c>
    </row>
    <row r="8" spans="1:8">
      <c r="A8" s="404"/>
      <c r="B8" s="295">
        <v>4</v>
      </c>
      <c r="C8" s="296">
        <v>0</v>
      </c>
      <c r="D8" s="296">
        <v>0</v>
      </c>
      <c r="E8" s="296">
        <v>0</v>
      </c>
      <c r="F8" s="296">
        <v>0</v>
      </c>
      <c r="G8" s="296">
        <v>0</v>
      </c>
      <c r="H8" s="296">
        <v>0</v>
      </c>
    </row>
    <row r="9" spans="1:8">
      <c r="A9" s="404"/>
      <c r="B9" s="295">
        <v>5</v>
      </c>
      <c r="C9" s="296">
        <v>0</v>
      </c>
      <c r="D9" s="296">
        <v>0</v>
      </c>
      <c r="E9" s="296">
        <v>0</v>
      </c>
      <c r="F9" s="296">
        <v>0</v>
      </c>
      <c r="G9" s="296">
        <v>0</v>
      </c>
      <c r="H9" s="296">
        <v>0</v>
      </c>
    </row>
    <row r="10" spans="1:8">
      <c r="A10" s="404"/>
      <c r="B10" s="295">
        <v>6</v>
      </c>
      <c r="C10" s="296">
        <v>0</v>
      </c>
      <c r="D10" s="296">
        <v>0</v>
      </c>
      <c r="E10" s="296">
        <v>0</v>
      </c>
      <c r="F10" s="296">
        <v>0</v>
      </c>
      <c r="G10" s="296">
        <v>0</v>
      </c>
      <c r="H10" s="296">
        <v>0</v>
      </c>
    </row>
    <row r="11" spans="1:8">
      <c r="A11" s="404"/>
      <c r="B11" s="295">
        <v>7</v>
      </c>
      <c r="C11" s="296">
        <v>0</v>
      </c>
      <c r="D11" s="296">
        <v>0</v>
      </c>
      <c r="E11" s="296">
        <v>0</v>
      </c>
      <c r="F11" s="296">
        <v>0</v>
      </c>
      <c r="G11" s="296">
        <v>0</v>
      </c>
      <c r="H11" s="296">
        <v>0</v>
      </c>
    </row>
    <row r="12" spans="1:8">
      <c r="A12" s="404"/>
      <c r="B12" s="295">
        <v>8</v>
      </c>
      <c r="C12" s="296">
        <v>0</v>
      </c>
      <c r="D12" s="296">
        <v>0</v>
      </c>
      <c r="E12" s="296">
        <v>0</v>
      </c>
      <c r="F12" s="296">
        <v>0</v>
      </c>
      <c r="G12" s="296">
        <v>0</v>
      </c>
      <c r="H12" s="296">
        <v>0</v>
      </c>
    </row>
    <row r="13" spans="1:8">
      <c r="A13" s="404"/>
      <c r="B13" s="295">
        <v>9</v>
      </c>
      <c r="C13" s="296">
        <v>0</v>
      </c>
      <c r="D13" s="296">
        <v>0</v>
      </c>
      <c r="E13" s="296">
        <v>0</v>
      </c>
      <c r="F13" s="296">
        <v>0</v>
      </c>
      <c r="G13" s="296">
        <v>0</v>
      </c>
      <c r="H13" s="296">
        <v>0</v>
      </c>
    </row>
    <row r="14" spans="1:8">
      <c r="A14" s="404"/>
      <c r="B14" s="295">
        <v>10</v>
      </c>
      <c r="C14" s="296">
        <v>0</v>
      </c>
      <c r="D14" s="296">
        <v>0</v>
      </c>
      <c r="E14" s="296">
        <v>0</v>
      </c>
      <c r="F14" s="296">
        <v>0</v>
      </c>
      <c r="G14" s="296">
        <v>0</v>
      </c>
      <c r="H14" s="296">
        <v>0</v>
      </c>
    </row>
    <row r="15" spans="1:8">
      <c r="A15" s="404"/>
      <c r="B15" s="295">
        <v>11</v>
      </c>
      <c r="C15" s="296">
        <v>0</v>
      </c>
      <c r="D15" s="296">
        <v>0</v>
      </c>
      <c r="E15" s="296">
        <v>0</v>
      </c>
      <c r="F15" s="296">
        <v>0</v>
      </c>
      <c r="G15" s="296">
        <v>0</v>
      </c>
      <c r="H15" s="296">
        <v>0</v>
      </c>
    </row>
    <row r="16" spans="1:8">
      <c r="A16" s="404"/>
      <c r="B16" s="295">
        <v>12</v>
      </c>
      <c r="C16" s="296">
        <v>0</v>
      </c>
      <c r="D16" s="296">
        <v>0</v>
      </c>
      <c r="E16" s="296">
        <v>0</v>
      </c>
      <c r="F16" s="296">
        <v>0</v>
      </c>
      <c r="G16" s="296">
        <v>0</v>
      </c>
      <c r="H16" s="296">
        <v>0</v>
      </c>
    </row>
    <row r="17" spans="1:8">
      <c r="A17" s="404"/>
      <c r="B17" s="295">
        <v>13</v>
      </c>
      <c r="C17" s="296">
        <v>0</v>
      </c>
      <c r="D17" s="296">
        <v>0</v>
      </c>
      <c r="E17" s="296">
        <v>0</v>
      </c>
      <c r="F17" s="296">
        <v>0</v>
      </c>
      <c r="G17" s="296">
        <v>0</v>
      </c>
      <c r="H17" s="296">
        <v>0</v>
      </c>
    </row>
    <row r="18" spans="1:8">
      <c r="A18" s="404"/>
      <c r="B18" s="295">
        <v>14</v>
      </c>
      <c r="C18" s="296">
        <v>0</v>
      </c>
      <c r="D18" s="296">
        <v>0</v>
      </c>
      <c r="E18" s="296">
        <v>0</v>
      </c>
      <c r="F18" s="296">
        <v>0</v>
      </c>
      <c r="G18" s="296">
        <v>0</v>
      </c>
      <c r="H18" s="296">
        <v>0</v>
      </c>
    </row>
    <row r="19" spans="1:8">
      <c r="A19" s="404"/>
      <c r="B19" s="295">
        <v>15</v>
      </c>
      <c r="C19" s="296">
        <v>68.650999999999996</v>
      </c>
      <c r="D19" s="296">
        <v>66.262</v>
      </c>
      <c r="E19" s="296">
        <v>64.430999999999997</v>
      </c>
      <c r="F19" s="296">
        <v>62.353000000000002</v>
      </c>
      <c r="G19" s="296">
        <v>59.527000000000001</v>
      </c>
      <c r="H19" s="296">
        <v>58.377000000000002</v>
      </c>
    </row>
    <row r="20" spans="1:8">
      <c r="A20" s="404"/>
      <c r="B20" s="295">
        <v>16</v>
      </c>
      <c r="C20" s="296">
        <v>118.023</v>
      </c>
      <c r="D20" s="296">
        <v>114.758</v>
      </c>
      <c r="E20" s="296">
        <v>112.193</v>
      </c>
      <c r="F20" s="296">
        <v>108.658</v>
      </c>
      <c r="G20" s="296">
        <v>103.741</v>
      </c>
      <c r="H20" s="296">
        <v>102.396</v>
      </c>
    </row>
    <row r="21" spans="1:8">
      <c r="A21" s="404"/>
      <c r="B21" s="295">
        <v>17</v>
      </c>
      <c r="C21" s="296">
        <v>168.501</v>
      </c>
      <c r="D21" s="296">
        <v>165.45099999999999</v>
      </c>
      <c r="E21" s="296">
        <v>162.80099999999999</v>
      </c>
      <c r="F21" s="296">
        <v>158.09299999999999</v>
      </c>
      <c r="G21" s="296">
        <v>151.30000000000001</v>
      </c>
      <c r="H21" s="296">
        <v>150.02500000000001</v>
      </c>
    </row>
    <row r="22" spans="1:8">
      <c r="A22" s="404"/>
      <c r="B22" s="295">
        <v>18</v>
      </c>
      <c r="C22" s="296">
        <v>214.91300000000001</v>
      </c>
      <c r="D22" s="296">
        <v>213.21299999999999</v>
      </c>
      <c r="E22" s="296">
        <v>211.16499999999999</v>
      </c>
      <c r="F22" s="296">
        <v>205.74799999999999</v>
      </c>
      <c r="G22" s="296">
        <v>197.54599999999999</v>
      </c>
      <c r="H22" s="296">
        <v>196.56100000000001</v>
      </c>
    </row>
    <row r="23" spans="1:8">
      <c r="A23" s="404"/>
      <c r="B23" s="295">
        <v>19</v>
      </c>
      <c r="C23" s="296">
        <v>247.262</v>
      </c>
      <c r="D23" s="296">
        <v>247.15100000000001</v>
      </c>
      <c r="E23" s="296">
        <v>245.87</v>
      </c>
      <c r="F23" s="296">
        <v>240.36</v>
      </c>
      <c r="G23" s="296">
        <v>231.547</v>
      </c>
      <c r="H23" s="296">
        <v>230.685</v>
      </c>
    </row>
    <row r="24" spans="1:8">
      <c r="A24" s="404"/>
      <c r="B24" s="295">
        <v>20</v>
      </c>
      <c r="C24" s="296">
        <v>264.63600000000002</v>
      </c>
      <c r="D24" s="296">
        <v>265.90600000000001</v>
      </c>
      <c r="E24" s="296">
        <v>265.30200000000002</v>
      </c>
      <c r="F24" s="296">
        <v>260.23599999999999</v>
      </c>
      <c r="G24" s="296">
        <v>251.56200000000001</v>
      </c>
      <c r="H24" s="296">
        <v>250.58600000000001</v>
      </c>
    </row>
    <row r="25" spans="1:8">
      <c r="A25" s="404"/>
      <c r="B25" s="295">
        <v>21</v>
      </c>
      <c r="C25" s="296">
        <v>273.30399999999997</v>
      </c>
      <c r="D25" s="296">
        <v>274.63600000000002</v>
      </c>
      <c r="E25" s="296">
        <v>274.01600000000002</v>
      </c>
      <c r="F25" s="296">
        <v>269.43599999999998</v>
      </c>
      <c r="G25" s="296">
        <v>261.08100000000002</v>
      </c>
      <c r="H25" s="296">
        <v>259.98</v>
      </c>
    </row>
    <row r="26" spans="1:8">
      <c r="A26" s="404"/>
      <c r="B26" s="295">
        <v>22</v>
      </c>
      <c r="C26" s="296">
        <v>275.58300000000003</v>
      </c>
      <c r="D26" s="296">
        <v>275.64499999999998</v>
      </c>
      <c r="E26" s="296">
        <v>274.31400000000002</v>
      </c>
      <c r="F26" s="296">
        <v>270.14999999999998</v>
      </c>
      <c r="G26" s="296">
        <v>262.15699999999998</v>
      </c>
      <c r="H26" s="296">
        <v>260.95400000000001</v>
      </c>
    </row>
    <row r="27" spans="1:8">
      <c r="A27" s="404"/>
      <c r="B27" s="295">
        <v>23</v>
      </c>
      <c r="C27" s="296">
        <v>275.67099999999999</v>
      </c>
      <c r="D27" s="296">
        <v>274.14800000000002</v>
      </c>
      <c r="E27" s="296">
        <v>272</v>
      </c>
      <c r="F27" s="296">
        <v>268.18200000000002</v>
      </c>
      <c r="G27" s="296">
        <v>260.52699999999999</v>
      </c>
      <c r="H27" s="296">
        <v>259.32499999999999</v>
      </c>
    </row>
    <row r="28" spans="1:8">
      <c r="A28" s="404"/>
      <c r="B28" s="295">
        <v>24</v>
      </c>
      <c r="C28" s="296">
        <v>274.803</v>
      </c>
      <c r="D28" s="296">
        <v>271.72899999999998</v>
      </c>
      <c r="E28" s="296">
        <v>268.85199999999998</v>
      </c>
      <c r="F28" s="296">
        <v>265.30399999999997</v>
      </c>
      <c r="G28" s="296">
        <v>257.93200000000002</v>
      </c>
      <c r="H28" s="296">
        <v>256.834</v>
      </c>
    </row>
    <row r="29" spans="1:8">
      <c r="A29" s="404"/>
      <c r="B29" s="295">
        <v>25</v>
      </c>
      <c r="C29" s="296">
        <v>274.25299999999999</v>
      </c>
      <c r="D29" s="296">
        <v>270.15199999999999</v>
      </c>
      <c r="E29" s="296">
        <v>266.87</v>
      </c>
      <c r="F29" s="296">
        <v>263.48500000000001</v>
      </c>
      <c r="G29" s="296">
        <v>256.27699999999999</v>
      </c>
      <c r="H29" s="296">
        <v>255.31399999999999</v>
      </c>
    </row>
    <row r="30" spans="1:8">
      <c r="A30" s="404"/>
      <c r="B30" s="295">
        <v>26</v>
      </c>
      <c r="C30" s="296">
        <v>273.99299999999999</v>
      </c>
      <c r="D30" s="296">
        <v>269.57299999999998</v>
      </c>
      <c r="E30" s="296">
        <v>266.3</v>
      </c>
      <c r="F30" s="296">
        <v>262.97399999999999</v>
      </c>
      <c r="G30" s="296">
        <v>255.809</v>
      </c>
      <c r="H30" s="296">
        <v>254.98599999999999</v>
      </c>
    </row>
    <row r="31" spans="1:8">
      <c r="A31" s="404"/>
      <c r="B31" s="295">
        <v>27</v>
      </c>
      <c r="C31" s="296">
        <v>273.09399999999999</v>
      </c>
      <c r="D31" s="296">
        <v>268.92899999999997</v>
      </c>
      <c r="E31" s="296">
        <v>265.95600000000002</v>
      </c>
      <c r="F31" s="296">
        <v>262.65100000000001</v>
      </c>
      <c r="G31" s="296">
        <v>255.48400000000001</v>
      </c>
      <c r="H31" s="296">
        <v>254.792</v>
      </c>
    </row>
    <row r="32" spans="1:8">
      <c r="A32" s="404"/>
      <c r="B32" s="295">
        <v>28</v>
      </c>
      <c r="C32" s="296">
        <v>271.29199999999997</v>
      </c>
      <c r="D32" s="296">
        <v>267.86099999999999</v>
      </c>
      <c r="E32" s="296">
        <v>265.411</v>
      </c>
      <c r="F32" s="296">
        <v>262.09500000000003</v>
      </c>
      <c r="G32" s="296">
        <v>254.89099999999999</v>
      </c>
      <c r="H32" s="296">
        <v>254.3</v>
      </c>
    </row>
    <row r="33" spans="1:8">
      <c r="A33" s="404"/>
      <c r="B33" s="295">
        <v>29</v>
      </c>
      <c r="C33" s="296">
        <v>268.39699999999999</v>
      </c>
      <c r="D33" s="296">
        <v>265.85399999999998</v>
      </c>
      <c r="E33" s="296">
        <v>263.95</v>
      </c>
      <c r="F33" s="296">
        <v>260.548</v>
      </c>
      <c r="G33" s="296">
        <v>253.245</v>
      </c>
      <c r="H33" s="296">
        <v>252.66</v>
      </c>
    </row>
    <row r="34" spans="1:8">
      <c r="A34" s="404"/>
      <c r="B34" s="295">
        <v>30</v>
      </c>
      <c r="C34" s="296">
        <v>264.11500000000001</v>
      </c>
      <c r="D34" s="296">
        <v>262.56599999999997</v>
      </c>
      <c r="E34" s="296">
        <v>261.21300000000002</v>
      </c>
      <c r="F34" s="296">
        <v>257.61700000000002</v>
      </c>
      <c r="G34" s="296">
        <v>250.11799999999999</v>
      </c>
      <c r="H34" s="296">
        <v>249.44900000000001</v>
      </c>
    </row>
    <row r="35" spans="1:8">
      <c r="A35" s="404"/>
      <c r="B35" s="295">
        <v>31</v>
      </c>
      <c r="C35" s="296">
        <v>257.86500000000001</v>
      </c>
      <c r="D35" s="296">
        <v>256.90199999999999</v>
      </c>
      <c r="E35" s="296">
        <v>255.80500000000001</v>
      </c>
      <c r="F35" s="296">
        <v>251.898</v>
      </c>
      <c r="G35" s="296">
        <v>244.11500000000001</v>
      </c>
      <c r="H35" s="296">
        <v>243.327</v>
      </c>
    </row>
    <row r="36" spans="1:8">
      <c r="A36" s="404"/>
      <c r="B36" s="295">
        <v>32</v>
      </c>
      <c r="C36" s="296">
        <v>249.48599999999999</v>
      </c>
      <c r="D36" s="296">
        <v>248.71</v>
      </c>
      <c r="E36" s="296">
        <v>247.59399999999999</v>
      </c>
      <c r="F36" s="296">
        <v>243.28200000000001</v>
      </c>
      <c r="G36" s="296">
        <v>235.15</v>
      </c>
      <c r="H36" s="296">
        <v>234.23</v>
      </c>
    </row>
    <row r="37" spans="1:8">
      <c r="A37" s="404"/>
      <c r="B37" s="295">
        <v>33</v>
      </c>
      <c r="C37" s="296">
        <v>239.375</v>
      </c>
      <c r="D37" s="296">
        <v>238.31299999999999</v>
      </c>
      <c r="E37" s="296">
        <v>236.881</v>
      </c>
      <c r="F37" s="296">
        <v>232.26900000000001</v>
      </c>
      <c r="G37" s="296">
        <v>223.94800000000001</v>
      </c>
      <c r="H37" s="296">
        <v>222.88300000000001</v>
      </c>
    </row>
    <row r="38" spans="1:8">
      <c r="A38" s="404"/>
      <c r="B38" s="295">
        <v>34</v>
      </c>
      <c r="C38" s="296">
        <v>227.67400000000001</v>
      </c>
      <c r="D38" s="296">
        <v>225.95</v>
      </c>
      <c r="E38" s="296">
        <v>223.97499999999999</v>
      </c>
      <c r="F38" s="296">
        <v>219.17699999999999</v>
      </c>
      <c r="G38" s="296">
        <v>210.83500000000001</v>
      </c>
      <c r="H38" s="296">
        <v>209.61199999999999</v>
      </c>
    </row>
    <row r="39" spans="1:8">
      <c r="A39" s="404"/>
      <c r="B39" s="295">
        <v>35</v>
      </c>
      <c r="C39" s="296">
        <v>214.864</v>
      </c>
      <c r="D39" s="296">
        <v>212.428</v>
      </c>
      <c r="E39" s="296">
        <v>209.892</v>
      </c>
      <c r="F39" s="296">
        <v>204.92400000000001</v>
      </c>
      <c r="G39" s="296">
        <v>196.602</v>
      </c>
      <c r="H39" s="296">
        <v>195.214</v>
      </c>
    </row>
    <row r="40" spans="1:8">
      <c r="A40" s="404"/>
      <c r="B40" s="295">
        <v>36</v>
      </c>
      <c r="C40" s="296">
        <v>200.44499999999999</v>
      </c>
      <c r="D40" s="296">
        <v>197.708</v>
      </c>
      <c r="E40" s="296">
        <v>194.91499999999999</v>
      </c>
      <c r="F40" s="296">
        <v>189.65899999999999</v>
      </c>
      <c r="G40" s="296">
        <v>181.22300000000001</v>
      </c>
      <c r="H40" s="296">
        <v>179.726</v>
      </c>
    </row>
    <row r="41" spans="1:8">
      <c r="A41" s="404"/>
      <c r="B41" s="295">
        <v>37</v>
      </c>
      <c r="C41" s="296">
        <v>184.50899999999999</v>
      </c>
      <c r="D41" s="296">
        <v>181.65799999999999</v>
      </c>
      <c r="E41" s="296">
        <v>178.77</v>
      </c>
      <c r="F41" s="296">
        <v>173.31299999999999</v>
      </c>
      <c r="G41" s="296">
        <v>164.86799999999999</v>
      </c>
      <c r="H41" s="296">
        <v>163.328</v>
      </c>
    </row>
    <row r="42" spans="1:8">
      <c r="A42" s="404"/>
      <c r="B42" s="295">
        <v>38</v>
      </c>
      <c r="C42" s="296">
        <v>167.19499999999999</v>
      </c>
      <c r="D42" s="296">
        <v>164.41900000000001</v>
      </c>
      <c r="E42" s="296">
        <v>161.6</v>
      </c>
      <c r="F42" s="296">
        <v>156.05500000000001</v>
      </c>
      <c r="G42" s="296">
        <v>147.73400000000001</v>
      </c>
      <c r="H42" s="296">
        <v>146.214</v>
      </c>
    </row>
    <row r="43" spans="1:8">
      <c r="A43" s="404"/>
      <c r="B43" s="295">
        <v>39</v>
      </c>
      <c r="C43" s="296">
        <v>149.28800000000001</v>
      </c>
      <c r="D43" s="296">
        <v>146.834</v>
      </c>
      <c r="E43" s="296">
        <v>144.267</v>
      </c>
      <c r="F43" s="296">
        <v>138.71600000000001</v>
      </c>
      <c r="G43" s="296">
        <v>130.614</v>
      </c>
      <c r="H43" s="296">
        <v>129.12299999999999</v>
      </c>
    </row>
    <row r="44" spans="1:8">
      <c r="A44" s="404"/>
      <c r="B44" s="295">
        <v>40</v>
      </c>
      <c r="C44" s="296">
        <v>130.065</v>
      </c>
      <c r="D44" s="296">
        <v>128.375</v>
      </c>
      <c r="E44" s="296">
        <v>126.38500000000001</v>
      </c>
      <c r="F44" s="296">
        <v>120.807</v>
      </c>
      <c r="G44" s="296">
        <v>112.887</v>
      </c>
      <c r="H44" s="296">
        <v>111.491</v>
      </c>
    </row>
    <row r="45" spans="1:8">
      <c r="A45" s="404"/>
      <c r="B45" s="295">
        <v>41</v>
      </c>
      <c r="C45" s="296">
        <v>110.842</v>
      </c>
      <c r="D45" s="296">
        <v>109.533</v>
      </c>
      <c r="E45" s="296">
        <v>107.874</v>
      </c>
      <c r="F45" s="296">
        <v>102.736</v>
      </c>
      <c r="G45" s="296">
        <v>95.572000000000003</v>
      </c>
      <c r="H45" s="296">
        <v>94.218999999999994</v>
      </c>
    </row>
    <row r="46" spans="1:8">
      <c r="A46" s="404"/>
      <c r="B46" s="295">
        <v>42</v>
      </c>
      <c r="C46" s="296">
        <v>91.239000000000004</v>
      </c>
      <c r="D46" s="296">
        <v>90.159000000000006</v>
      </c>
      <c r="E46" s="296">
        <v>88.748000000000005</v>
      </c>
      <c r="F46" s="296">
        <v>84.353999999999999</v>
      </c>
      <c r="G46" s="296">
        <v>78.311999999999998</v>
      </c>
      <c r="H46" s="296">
        <v>77.016000000000005</v>
      </c>
    </row>
    <row r="47" spans="1:8">
      <c r="A47" s="404"/>
      <c r="B47" s="295">
        <v>43</v>
      </c>
      <c r="C47" s="296">
        <v>74.058000000000007</v>
      </c>
      <c r="D47" s="296">
        <v>73.090999999999994</v>
      </c>
      <c r="E47" s="296">
        <v>71.846000000000004</v>
      </c>
      <c r="F47" s="296">
        <v>68.311999999999998</v>
      </c>
      <c r="G47" s="296">
        <v>63.503999999999998</v>
      </c>
      <c r="H47" s="296">
        <v>62.235999999999997</v>
      </c>
    </row>
    <row r="48" spans="1:8">
      <c r="A48" s="404"/>
      <c r="B48" s="295">
        <v>44</v>
      </c>
      <c r="C48" s="296">
        <v>59.845999999999997</v>
      </c>
      <c r="D48" s="296">
        <v>58.899000000000001</v>
      </c>
      <c r="E48" s="296">
        <v>57.747</v>
      </c>
      <c r="F48" s="296">
        <v>55.110999999999997</v>
      </c>
      <c r="G48" s="296">
        <v>51.55</v>
      </c>
      <c r="H48" s="296">
        <v>50.284999999999997</v>
      </c>
    </row>
    <row r="49" spans="1:8">
      <c r="A49" s="404"/>
      <c r="B49" s="295">
        <v>45</v>
      </c>
      <c r="C49" s="296">
        <v>49.884</v>
      </c>
      <c r="D49" s="296">
        <v>48.686999999999998</v>
      </c>
      <c r="E49" s="296">
        <v>47.414999999999999</v>
      </c>
      <c r="F49" s="296">
        <v>45.725000000000001</v>
      </c>
      <c r="G49" s="296">
        <v>43.439</v>
      </c>
      <c r="H49" s="296">
        <v>42.09</v>
      </c>
    </row>
    <row r="50" spans="1:8">
      <c r="A50" s="404"/>
      <c r="B50" s="295">
        <v>46</v>
      </c>
      <c r="C50" s="296">
        <v>40.220999999999997</v>
      </c>
      <c r="D50" s="296">
        <v>39.031999999999996</v>
      </c>
      <c r="E50" s="296">
        <v>37.841999999999999</v>
      </c>
      <c r="F50" s="296">
        <v>36.762</v>
      </c>
      <c r="G50" s="296">
        <v>35.308999999999997</v>
      </c>
      <c r="H50" s="296">
        <v>34.043999999999997</v>
      </c>
    </row>
    <row r="51" spans="1:8">
      <c r="A51" s="404"/>
      <c r="B51" s="295">
        <v>47</v>
      </c>
      <c r="C51" s="296">
        <v>31.989000000000001</v>
      </c>
      <c r="D51" s="296">
        <v>30.882000000000001</v>
      </c>
      <c r="E51" s="296">
        <v>29.817</v>
      </c>
      <c r="F51" s="296">
        <v>29.175999999999998</v>
      </c>
      <c r="G51" s="296">
        <v>28.315999999999999</v>
      </c>
      <c r="H51" s="296">
        <v>27.183</v>
      </c>
    </row>
    <row r="52" spans="1:8">
      <c r="A52" s="404"/>
      <c r="B52" s="295">
        <v>48</v>
      </c>
      <c r="C52" s="296">
        <v>24.56</v>
      </c>
      <c r="D52" s="296">
        <v>23.635999999999999</v>
      </c>
      <c r="E52" s="296">
        <v>22.759</v>
      </c>
      <c r="F52" s="296">
        <v>22.393999999999998</v>
      </c>
      <c r="G52" s="296">
        <v>21.904</v>
      </c>
      <c r="H52" s="296">
        <v>20.962</v>
      </c>
    </row>
    <row r="53" spans="1:8">
      <c r="A53" s="404"/>
      <c r="B53" s="295">
        <v>49</v>
      </c>
      <c r="C53" s="296">
        <v>16.12</v>
      </c>
      <c r="D53" s="296">
        <v>15.49</v>
      </c>
      <c r="E53" s="296">
        <v>14.891999999999999</v>
      </c>
      <c r="F53" s="296">
        <v>14.709</v>
      </c>
      <c r="G53" s="296">
        <v>14.464</v>
      </c>
      <c r="H53" s="296">
        <v>13.805999999999999</v>
      </c>
    </row>
    <row r="54" spans="1:8">
      <c r="A54" s="404"/>
      <c r="B54" s="295">
        <v>50</v>
      </c>
      <c r="C54" s="296">
        <v>0</v>
      </c>
      <c r="D54" s="296">
        <v>0</v>
      </c>
      <c r="E54" s="296">
        <v>0</v>
      </c>
      <c r="F54" s="296">
        <v>0</v>
      </c>
      <c r="G54" s="296">
        <v>0</v>
      </c>
      <c r="H54" s="296">
        <v>0</v>
      </c>
    </row>
    <row r="55" spans="1:8">
      <c r="A55" s="404"/>
      <c r="B55" s="295">
        <v>51</v>
      </c>
      <c r="C55" s="296">
        <v>0</v>
      </c>
      <c r="D55" s="296">
        <v>0</v>
      </c>
      <c r="E55" s="296">
        <v>0</v>
      </c>
      <c r="F55" s="296">
        <v>0</v>
      </c>
      <c r="G55" s="296">
        <v>0</v>
      </c>
      <c r="H55" s="296">
        <v>0</v>
      </c>
    </row>
    <row r="56" spans="1:8">
      <c r="A56" s="404"/>
      <c r="B56" s="295">
        <v>52</v>
      </c>
      <c r="C56" s="296">
        <v>0</v>
      </c>
      <c r="D56" s="296">
        <v>0</v>
      </c>
      <c r="E56" s="296">
        <v>0</v>
      </c>
      <c r="F56" s="296">
        <v>0</v>
      </c>
      <c r="G56" s="296">
        <v>0</v>
      </c>
      <c r="H56" s="296">
        <v>0</v>
      </c>
    </row>
    <row r="57" spans="1:8">
      <c r="A57" s="404"/>
      <c r="B57" s="295">
        <v>53</v>
      </c>
      <c r="C57" s="296">
        <v>0</v>
      </c>
      <c r="D57" s="296">
        <v>0</v>
      </c>
      <c r="E57" s="296">
        <v>0</v>
      </c>
      <c r="F57" s="296">
        <v>0</v>
      </c>
      <c r="G57" s="296">
        <v>0</v>
      </c>
      <c r="H57" s="296">
        <v>0</v>
      </c>
    </row>
    <row r="58" spans="1:8">
      <c r="A58" s="404"/>
      <c r="B58" s="295">
        <v>54</v>
      </c>
      <c r="C58" s="296">
        <v>0</v>
      </c>
      <c r="D58" s="296">
        <v>0</v>
      </c>
      <c r="E58" s="296">
        <v>0</v>
      </c>
      <c r="F58" s="296">
        <v>0</v>
      </c>
      <c r="G58" s="296">
        <v>0</v>
      </c>
      <c r="H58" s="296">
        <v>0</v>
      </c>
    </row>
    <row r="59" spans="1:8">
      <c r="A59" s="404"/>
      <c r="B59" s="295">
        <v>55</v>
      </c>
      <c r="C59" s="296">
        <v>0</v>
      </c>
      <c r="D59" s="296">
        <v>0</v>
      </c>
      <c r="E59" s="296">
        <v>0</v>
      </c>
      <c r="F59" s="296">
        <v>0</v>
      </c>
      <c r="G59" s="296">
        <v>0</v>
      </c>
      <c r="H59" s="296">
        <v>0</v>
      </c>
    </row>
    <row r="60" spans="1:8">
      <c r="A60" s="404"/>
      <c r="B60" s="295">
        <v>56</v>
      </c>
      <c r="C60" s="296">
        <v>0</v>
      </c>
      <c r="D60" s="296">
        <v>0</v>
      </c>
      <c r="E60" s="296">
        <v>0</v>
      </c>
      <c r="F60" s="296">
        <v>0</v>
      </c>
      <c r="G60" s="296">
        <v>0</v>
      </c>
      <c r="H60" s="296">
        <v>0</v>
      </c>
    </row>
    <row r="61" spans="1:8">
      <c r="A61" s="404"/>
      <c r="B61" s="295">
        <v>57</v>
      </c>
      <c r="C61" s="296">
        <v>0</v>
      </c>
      <c r="D61" s="296">
        <v>0</v>
      </c>
      <c r="E61" s="296">
        <v>0</v>
      </c>
      <c r="F61" s="296">
        <v>0</v>
      </c>
      <c r="G61" s="296">
        <v>0</v>
      </c>
      <c r="H61" s="296">
        <v>0</v>
      </c>
    </row>
    <row r="62" spans="1:8">
      <c r="A62" s="404"/>
      <c r="B62" s="295">
        <v>58</v>
      </c>
      <c r="C62" s="296">
        <v>0</v>
      </c>
      <c r="D62" s="296">
        <v>0</v>
      </c>
      <c r="E62" s="296">
        <v>0</v>
      </c>
      <c r="F62" s="296">
        <v>0</v>
      </c>
      <c r="G62" s="296">
        <v>0</v>
      </c>
      <c r="H62" s="296">
        <v>0</v>
      </c>
    </row>
    <row r="63" spans="1:8">
      <c r="A63" s="404"/>
      <c r="B63" s="295">
        <v>59</v>
      </c>
      <c r="C63" s="296">
        <v>0</v>
      </c>
      <c r="D63" s="296">
        <v>0</v>
      </c>
      <c r="E63" s="296">
        <v>0</v>
      </c>
      <c r="F63" s="296">
        <v>0</v>
      </c>
      <c r="G63" s="296">
        <v>0</v>
      </c>
      <c r="H63" s="296">
        <v>0</v>
      </c>
    </row>
    <row r="64" spans="1:8">
      <c r="A64" s="404"/>
      <c r="B64" s="295">
        <v>60</v>
      </c>
      <c r="C64" s="296">
        <v>0</v>
      </c>
      <c r="D64" s="296">
        <v>0</v>
      </c>
      <c r="E64" s="296">
        <v>0</v>
      </c>
      <c r="F64" s="296">
        <v>0</v>
      </c>
      <c r="G64" s="296">
        <v>0</v>
      </c>
      <c r="H64" s="296">
        <v>0</v>
      </c>
    </row>
    <row r="65" spans="1:8">
      <c r="A65" s="404"/>
      <c r="B65" s="295">
        <v>61</v>
      </c>
      <c r="C65" s="296">
        <v>0</v>
      </c>
      <c r="D65" s="296">
        <v>0</v>
      </c>
      <c r="E65" s="296">
        <v>0</v>
      </c>
      <c r="F65" s="296">
        <v>0</v>
      </c>
      <c r="G65" s="296">
        <v>0</v>
      </c>
      <c r="H65" s="296">
        <v>0</v>
      </c>
    </row>
    <row r="66" spans="1:8">
      <c r="A66" s="404"/>
      <c r="B66" s="295">
        <v>62</v>
      </c>
      <c r="C66" s="296">
        <v>0</v>
      </c>
      <c r="D66" s="296">
        <v>0</v>
      </c>
      <c r="E66" s="296">
        <v>0</v>
      </c>
      <c r="F66" s="296">
        <v>0</v>
      </c>
      <c r="G66" s="296">
        <v>0</v>
      </c>
      <c r="H66" s="296">
        <v>0</v>
      </c>
    </row>
    <row r="67" spans="1:8">
      <c r="A67" s="404"/>
      <c r="B67" s="295">
        <v>63</v>
      </c>
      <c r="C67" s="296">
        <v>0</v>
      </c>
      <c r="D67" s="296">
        <v>0</v>
      </c>
      <c r="E67" s="296">
        <v>0</v>
      </c>
      <c r="F67" s="296">
        <v>0</v>
      </c>
      <c r="G67" s="296">
        <v>0</v>
      </c>
      <c r="H67" s="296">
        <v>0</v>
      </c>
    </row>
    <row r="68" spans="1:8">
      <c r="A68" s="404"/>
      <c r="B68" s="295">
        <v>64</v>
      </c>
      <c r="C68" s="296">
        <v>0</v>
      </c>
      <c r="D68" s="296">
        <v>0</v>
      </c>
      <c r="E68" s="296">
        <v>0</v>
      </c>
      <c r="F68" s="296">
        <v>0</v>
      </c>
      <c r="G68" s="296">
        <v>0</v>
      </c>
      <c r="H68" s="296">
        <v>0</v>
      </c>
    </row>
    <row r="69" spans="1:8">
      <c r="A69" s="404"/>
      <c r="B69" s="295">
        <v>65</v>
      </c>
      <c r="C69" s="296">
        <v>0</v>
      </c>
      <c r="D69" s="296">
        <v>0</v>
      </c>
      <c r="E69" s="296">
        <v>0</v>
      </c>
      <c r="F69" s="296">
        <v>0</v>
      </c>
      <c r="G69" s="296">
        <v>0</v>
      </c>
      <c r="H69" s="296">
        <v>0</v>
      </c>
    </row>
    <row r="70" spans="1:8">
      <c r="A70" s="404"/>
      <c r="B70" s="295">
        <v>66</v>
      </c>
      <c r="C70" s="296">
        <v>0</v>
      </c>
      <c r="D70" s="296">
        <v>0</v>
      </c>
      <c r="E70" s="296">
        <v>0</v>
      </c>
      <c r="F70" s="296">
        <v>0</v>
      </c>
      <c r="G70" s="296">
        <v>0</v>
      </c>
      <c r="H70" s="296">
        <v>0</v>
      </c>
    </row>
    <row r="71" spans="1:8">
      <c r="A71" s="404"/>
      <c r="B71" s="295">
        <v>67</v>
      </c>
      <c r="C71" s="296">
        <v>0</v>
      </c>
      <c r="D71" s="296">
        <v>0</v>
      </c>
      <c r="E71" s="296">
        <v>0</v>
      </c>
      <c r="F71" s="296">
        <v>0</v>
      </c>
      <c r="G71" s="296">
        <v>0</v>
      </c>
      <c r="H71" s="296">
        <v>0</v>
      </c>
    </row>
    <row r="72" spans="1:8">
      <c r="A72" s="404"/>
      <c r="B72" s="295">
        <v>68</v>
      </c>
      <c r="C72" s="296">
        <v>0</v>
      </c>
      <c r="D72" s="296">
        <v>0</v>
      </c>
      <c r="E72" s="296">
        <v>0</v>
      </c>
      <c r="F72" s="296">
        <v>0</v>
      </c>
      <c r="G72" s="296">
        <v>0</v>
      </c>
      <c r="H72" s="296">
        <v>0</v>
      </c>
    </row>
    <row r="73" spans="1:8">
      <c r="A73" s="404"/>
      <c r="B73" s="295">
        <v>69</v>
      </c>
      <c r="C73" s="296">
        <v>0</v>
      </c>
      <c r="D73" s="296">
        <v>0</v>
      </c>
      <c r="E73" s="296">
        <v>0</v>
      </c>
      <c r="F73" s="296">
        <v>0</v>
      </c>
      <c r="G73" s="296">
        <v>0</v>
      </c>
      <c r="H73" s="296">
        <v>0</v>
      </c>
    </row>
    <row r="74" spans="1:8">
      <c r="A74" s="404"/>
      <c r="B74" s="295">
        <v>70</v>
      </c>
      <c r="C74" s="296">
        <v>0</v>
      </c>
      <c r="D74" s="296">
        <v>0</v>
      </c>
      <c r="E74" s="296">
        <v>0</v>
      </c>
      <c r="F74" s="296">
        <v>0</v>
      </c>
      <c r="G74" s="296">
        <v>0</v>
      </c>
      <c r="H74" s="296">
        <v>0</v>
      </c>
    </row>
    <row r="75" spans="1:8">
      <c r="A75" s="404"/>
      <c r="B75" s="295">
        <v>71</v>
      </c>
      <c r="C75" s="296">
        <v>0</v>
      </c>
      <c r="D75" s="296">
        <v>0</v>
      </c>
      <c r="E75" s="296">
        <v>0</v>
      </c>
      <c r="F75" s="296">
        <v>0</v>
      </c>
      <c r="G75" s="296">
        <v>0</v>
      </c>
      <c r="H75" s="296">
        <v>0</v>
      </c>
    </row>
    <row r="76" spans="1:8">
      <c r="A76" s="404"/>
      <c r="B76" s="295">
        <v>72</v>
      </c>
      <c r="C76" s="296">
        <v>0</v>
      </c>
      <c r="D76" s="296">
        <v>0</v>
      </c>
      <c r="E76" s="296">
        <v>0</v>
      </c>
      <c r="F76" s="296">
        <v>0</v>
      </c>
      <c r="G76" s="296">
        <v>0</v>
      </c>
      <c r="H76" s="296">
        <v>0</v>
      </c>
    </row>
    <row r="77" spans="1:8">
      <c r="A77" s="404"/>
      <c r="B77" s="295">
        <v>73</v>
      </c>
      <c r="C77" s="296">
        <v>0</v>
      </c>
      <c r="D77" s="296">
        <v>0</v>
      </c>
      <c r="E77" s="296">
        <v>0</v>
      </c>
      <c r="F77" s="296">
        <v>0</v>
      </c>
      <c r="G77" s="296">
        <v>0</v>
      </c>
      <c r="H77" s="296">
        <v>0</v>
      </c>
    </row>
    <row r="78" spans="1:8">
      <c r="A78" s="404"/>
      <c r="B78" s="295">
        <v>74</v>
      </c>
      <c r="C78" s="296">
        <v>0</v>
      </c>
      <c r="D78" s="296">
        <v>0</v>
      </c>
      <c r="E78" s="296">
        <v>0</v>
      </c>
      <c r="F78" s="296">
        <v>0</v>
      </c>
      <c r="G78" s="296">
        <v>0</v>
      </c>
      <c r="H78" s="296">
        <v>0</v>
      </c>
    </row>
    <row r="79" spans="1:8">
      <c r="A79" s="404"/>
      <c r="B79" s="295">
        <v>75</v>
      </c>
      <c r="C79" s="296">
        <v>0</v>
      </c>
      <c r="D79" s="296">
        <v>0</v>
      </c>
      <c r="E79" s="296">
        <v>0</v>
      </c>
      <c r="F79" s="296">
        <v>0</v>
      </c>
      <c r="G79" s="296">
        <v>0</v>
      </c>
      <c r="H79" s="296">
        <v>0</v>
      </c>
    </row>
    <row r="80" spans="1:8">
      <c r="A80" s="404"/>
      <c r="B80" s="295">
        <v>76</v>
      </c>
      <c r="C80" s="296">
        <v>0</v>
      </c>
      <c r="D80" s="296">
        <v>0</v>
      </c>
      <c r="E80" s="296">
        <v>0</v>
      </c>
      <c r="F80" s="296">
        <v>0</v>
      </c>
      <c r="G80" s="296">
        <v>0</v>
      </c>
      <c r="H80" s="296">
        <v>0</v>
      </c>
    </row>
    <row r="81" spans="1:8">
      <c r="A81" s="404"/>
      <c r="B81" s="295">
        <v>77</v>
      </c>
      <c r="C81" s="296">
        <v>0</v>
      </c>
      <c r="D81" s="296">
        <v>0</v>
      </c>
      <c r="E81" s="296">
        <v>0</v>
      </c>
      <c r="F81" s="296">
        <v>0</v>
      </c>
      <c r="G81" s="296">
        <v>0</v>
      </c>
      <c r="H81" s="296">
        <v>0</v>
      </c>
    </row>
    <row r="82" spans="1:8">
      <c r="A82" s="404"/>
      <c r="B82" s="295">
        <v>78</v>
      </c>
      <c r="C82" s="296">
        <v>0</v>
      </c>
      <c r="D82" s="296">
        <v>0</v>
      </c>
      <c r="E82" s="296">
        <v>0</v>
      </c>
      <c r="F82" s="296">
        <v>0</v>
      </c>
      <c r="G82" s="296">
        <v>0</v>
      </c>
      <c r="H82" s="296">
        <v>0</v>
      </c>
    </row>
    <row r="83" spans="1:8">
      <c r="A83" s="404"/>
      <c r="B83" s="295">
        <v>79</v>
      </c>
      <c r="C83" s="296">
        <v>0</v>
      </c>
      <c r="D83" s="296">
        <v>0</v>
      </c>
      <c r="E83" s="296">
        <v>0</v>
      </c>
      <c r="F83" s="296">
        <v>0</v>
      </c>
      <c r="G83" s="296">
        <v>0</v>
      </c>
      <c r="H83" s="296">
        <v>0</v>
      </c>
    </row>
    <row r="84" spans="1:8">
      <c r="A84" s="404"/>
      <c r="B84" s="295">
        <v>80</v>
      </c>
      <c r="C84" s="296">
        <v>0</v>
      </c>
      <c r="D84" s="296">
        <v>0</v>
      </c>
      <c r="E84" s="296">
        <v>0</v>
      </c>
      <c r="F84" s="296">
        <v>0</v>
      </c>
      <c r="G84" s="296">
        <v>0</v>
      </c>
      <c r="H84" s="296">
        <v>0</v>
      </c>
    </row>
    <row r="85" spans="1:8">
      <c r="A85" s="404"/>
      <c r="B85" s="295">
        <v>81</v>
      </c>
      <c r="C85" s="296">
        <v>0</v>
      </c>
      <c r="D85" s="296">
        <v>0</v>
      </c>
      <c r="E85" s="296">
        <v>0</v>
      </c>
      <c r="F85" s="296">
        <v>0</v>
      </c>
      <c r="G85" s="296">
        <v>0</v>
      </c>
      <c r="H85" s="296">
        <v>0</v>
      </c>
    </row>
    <row r="86" spans="1:8">
      <c r="A86" s="404"/>
      <c r="B86" s="295">
        <v>82</v>
      </c>
      <c r="C86" s="296">
        <v>0</v>
      </c>
      <c r="D86" s="296">
        <v>0</v>
      </c>
      <c r="E86" s="296">
        <v>0</v>
      </c>
      <c r="F86" s="296">
        <v>0</v>
      </c>
      <c r="G86" s="296">
        <v>0</v>
      </c>
      <c r="H86" s="296">
        <v>0</v>
      </c>
    </row>
    <row r="87" spans="1:8">
      <c r="A87" s="404"/>
      <c r="B87" s="295">
        <v>83</v>
      </c>
      <c r="C87" s="296">
        <v>0</v>
      </c>
      <c r="D87" s="296">
        <v>0</v>
      </c>
      <c r="E87" s="296">
        <v>0</v>
      </c>
      <c r="F87" s="296">
        <v>0</v>
      </c>
      <c r="G87" s="296">
        <v>0</v>
      </c>
      <c r="H87" s="296">
        <v>0</v>
      </c>
    </row>
    <row r="88" spans="1:8">
      <c r="A88" s="404"/>
      <c r="B88" s="295">
        <v>84</v>
      </c>
      <c r="C88" s="296">
        <v>0</v>
      </c>
      <c r="D88" s="296">
        <v>0</v>
      </c>
      <c r="E88" s="296">
        <v>0</v>
      </c>
      <c r="F88" s="296">
        <v>0</v>
      </c>
      <c r="G88" s="296">
        <v>0</v>
      </c>
      <c r="H88" s="296">
        <v>0</v>
      </c>
    </row>
    <row r="89" spans="1:8">
      <c r="A89" s="404"/>
      <c r="B89" s="295">
        <v>85</v>
      </c>
      <c r="C89" s="296">
        <v>0</v>
      </c>
      <c r="D89" s="296">
        <v>0</v>
      </c>
      <c r="E89" s="296">
        <v>0</v>
      </c>
      <c r="F89" s="296">
        <v>0</v>
      </c>
      <c r="G89" s="296">
        <v>0</v>
      </c>
      <c r="H89" s="296">
        <v>0</v>
      </c>
    </row>
    <row r="90" spans="1:8">
      <c r="A90" s="404"/>
      <c r="B90" s="295">
        <v>86</v>
      </c>
      <c r="C90" s="296">
        <v>0</v>
      </c>
      <c r="D90" s="296">
        <v>0</v>
      </c>
      <c r="E90" s="296">
        <v>0</v>
      </c>
      <c r="F90" s="296">
        <v>0</v>
      </c>
      <c r="G90" s="296">
        <v>0</v>
      </c>
      <c r="H90" s="296">
        <v>0</v>
      </c>
    </row>
    <row r="91" spans="1:8">
      <c r="A91" s="404"/>
      <c r="B91" s="295">
        <v>87</v>
      </c>
      <c r="C91" s="296">
        <v>0</v>
      </c>
      <c r="D91" s="296">
        <v>0</v>
      </c>
      <c r="E91" s="296">
        <v>0</v>
      </c>
      <c r="F91" s="296">
        <v>0</v>
      </c>
      <c r="G91" s="296">
        <v>0</v>
      </c>
      <c r="H91" s="296">
        <v>0</v>
      </c>
    </row>
    <row r="92" spans="1:8">
      <c r="A92" s="404"/>
      <c r="B92" s="295">
        <v>88</v>
      </c>
      <c r="C92" s="296">
        <v>0</v>
      </c>
      <c r="D92" s="296">
        <v>0</v>
      </c>
      <c r="E92" s="296">
        <v>0</v>
      </c>
      <c r="F92" s="296">
        <v>0</v>
      </c>
      <c r="G92" s="296">
        <v>0</v>
      </c>
      <c r="H92" s="296">
        <v>0</v>
      </c>
    </row>
    <row r="93" spans="1:8">
      <c r="A93" s="404"/>
      <c r="B93" s="295">
        <v>89</v>
      </c>
      <c r="C93" s="296">
        <v>0</v>
      </c>
      <c r="D93" s="296">
        <v>0</v>
      </c>
      <c r="E93" s="296">
        <v>0</v>
      </c>
      <c r="F93" s="296">
        <v>0</v>
      </c>
      <c r="G93" s="296">
        <v>0</v>
      </c>
      <c r="H93" s="296">
        <v>0</v>
      </c>
    </row>
    <row r="94" spans="1:8">
      <c r="A94" s="404"/>
      <c r="B94" s="295">
        <v>90</v>
      </c>
      <c r="C94" s="296">
        <v>0</v>
      </c>
      <c r="D94" s="296">
        <v>0</v>
      </c>
      <c r="E94" s="296">
        <v>0</v>
      </c>
      <c r="F94" s="296">
        <v>0</v>
      </c>
      <c r="G94" s="296">
        <v>0</v>
      </c>
      <c r="H94" s="296">
        <v>0</v>
      </c>
    </row>
    <row r="95" spans="1:8">
      <c r="A95" s="404"/>
      <c r="B95" s="295">
        <v>91</v>
      </c>
      <c r="C95" s="296">
        <v>0</v>
      </c>
      <c r="D95" s="296">
        <v>0</v>
      </c>
      <c r="E95" s="296">
        <v>0</v>
      </c>
      <c r="F95" s="296">
        <v>0</v>
      </c>
      <c r="G95" s="296">
        <v>0</v>
      </c>
      <c r="H95" s="296">
        <v>0</v>
      </c>
    </row>
    <row r="96" spans="1:8">
      <c r="A96" s="404"/>
      <c r="B96" s="295">
        <v>92</v>
      </c>
      <c r="C96" s="296">
        <v>0</v>
      </c>
      <c r="D96" s="296">
        <v>0</v>
      </c>
      <c r="E96" s="296">
        <v>0</v>
      </c>
      <c r="F96" s="296">
        <v>0</v>
      </c>
      <c r="G96" s="296">
        <v>0</v>
      </c>
      <c r="H96" s="296">
        <v>0</v>
      </c>
    </row>
    <row r="97" spans="1:8">
      <c r="A97" s="404"/>
      <c r="B97" s="295">
        <v>93</v>
      </c>
      <c r="C97" s="296">
        <v>0</v>
      </c>
      <c r="D97" s="296">
        <v>0</v>
      </c>
      <c r="E97" s="296">
        <v>0</v>
      </c>
      <c r="F97" s="296">
        <v>0</v>
      </c>
      <c r="G97" s="296">
        <v>0</v>
      </c>
      <c r="H97" s="296">
        <v>0</v>
      </c>
    </row>
    <row r="98" spans="1:8">
      <c r="A98" s="404"/>
      <c r="B98" s="295">
        <v>94</v>
      </c>
      <c r="C98" s="296">
        <v>0</v>
      </c>
      <c r="D98" s="296">
        <v>0</v>
      </c>
      <c r="E98" s="296">
        <v>0</v>
      </c>
      <c r="F98" s="296">
        <v>0</v>
      </c>
      <c r="G98" s="296">
        <v>0</v>
      </c>
      <c r="H98" s="296">
        <v>0</v>
      </c>
    </row>
    <row r="99" spans="1:8">
      <c r="A99" s="404"/>
      <c r="B99" s="295">
        <v>95</v>
      </c>
      <c r="C99" s="296">
        <v>0</v>
      </c>
      <c r="D99" s="296">
        <v>0</v>
      </c>
      <c r="E99" s="296">
        <v>0</v>
      </c>
      <c r="F99" s="296">
        <v>0</v>
      </c>
      <c r="G99" s="296">
        <v>0</v>
      </c>
      <c r="H99" s="296">
        <v>0</v>
      </c>
    </row>
    <row r="100" spans="1:8">
      <c r="A100" s="404"/>
      <c r="B100" s="295">
        <v>96</v>
      </c>
      <c r="C100" s="296">
        <v>0</v>
      </c>
      <c r="D100" s="296">
        <v>0</v>
      </c>
      <c r="E100" s="296">
        <v>0</v>
      </c>
      <c r="F100" s="296">
        <v>0</v>
      </c>
      <c r="G100" s="296">
        <v>0</v>
      </c>
      <c r="H100" s="296">
        <v>0</v>
      </c>
    </row>
    <row r="101" spans="1:8">
      <c r="A101" s="404"/>
      <c r="B101" s="295">
        <v>97</v>
      </c>
      <c r="C101" s="296">
        <v>0</v>
      </c>
      <c r="D101" s="296">
        <v>0</v>
      </c>
      <c r="E101" s="296">
        <v>0</v>
      </c>
      <c r="F101" s="296">
        <v>0</v>
      </c>
      <c r="G101" s="296">
        <v>0</v>
      </c>
      <c r="H101" s="296">
        <v>0</v>
      </c>
    </row>
    <row r="102" spans="1:8">
      <c r="A102" s="404"/>
      <c r="B102" s="295">
        <v>98</v>
      </c>
      <c r="C102" s="296">
        <v>0</v>
      </c>
      <c r="D102" s="296">
        <v>0</v>
      </c>
      <c r="E102" s="296">
        <v>0</v>
      </c>
      <c r="F102" s="296">
        <v>0</v>
      </c>
      <c r="G102" s="296">
        <v>0</v>
      </c>
      <c r="H102" s="296">
        <v>0</v>
      </c>
    </row>
    <row r="103" spans="1:8">
      <c r="A103" s="404"/>
      <c r="B103" s="295">
        <v>99</v>
      </c>
      <c r="C103" s="296">
        <v>0</v>
      </c>
      <c r="D103" s="296">
        <v>0</v>
      </c>
      <c r="E103" s="296">
        <v>0</v>
      </c>
      <c r="F103" s="296">
        <v>0</v>
      </c>
      <c r="G103" s="296">
        <v>0</v>
      </c>
      <c r="H103" s="296">
        <v>0</v>
      </c>
    </row>
    <row r="104" spans="1:8">
      <c r="A104" s="405"/>
      <c r="B104" s="295">
        <v>100</v>
      </c>
      <c r="C104" s="296">
        <v>0</v>
      </c>
      <c r="D104" s="296">
        <v>0</v>
      </c>
      <c r="E104" s="296">
        <v>0</v>
      </c>
      <c r="F104" s="296">
        <v>0</v>
      </c>
      <c r="G104" s="296">
        <v>0</v>
      </c>
      <c r="H104" s="296">
        <v>0</v>
      </c>
    </row>
    <row r="107" spans="1:8" ht="14.4" thickBot="1">
      <c r="A107" s="160" t="s">
        <v>331</v>
      </c>
    </row>
    <row r="108" spans="1:8">
      <c r="B108" s="4" t="s">
        <v>389</v>
      </c>
      <c r="C108" s="4">
        <v>2015</v>
      </c>
      <c r="D108" s="4">
        <v>2016</v>
      </c>
      <c r="E108" s="4">
        <v>2017</v>
      </c>
      <c r="F108" s="4">
        <v>2018</v>
      </c>
      <c r="G108" s="4">
        <v>2019</v>
      </c>
      <c r="H108" s="4">
        <v>2020</v>
      </c>
    </row>
    <row r="109" spans="1:8" ht="13.8" customHeight="1">
      <c r="A109" s="403" t="s">
        <v>332</v>
      </c>
      <c r="B109" s="295">
        <v>0</v>
      </c>
      <c r="C109" s="9">
        <v>72.823039228531741</v>
      </c>
      <c r="D109" s="9">
        <v>70.960265793009455</v>
      </c>
      <c r="E109" s="9">
        <v>69.223926056603489</v>
      </c>
      <c r="F109" s="9">
        <v>67.355784437766886</v>
      </c>
      <c r="G109" s="9">
        <v>65.354362678694685</v>
      </c>
      <c r="H109" s="9">
        <v>64.128743679502136</v>
      </c>
    </row>
    <row r="110" spans="1:8">
      <c r="A110" s="404"/>
      <c r="B110" s="295">
        <v>1</v>
      </c>
      <c r="C110" s="9">
        <v>17.025979986135557</v>
      </c>
      <c r="D110" s="9">
        <v>16.208887015790136</v>
      </c>
      <c r="E110" s="9">
        <v>15.456239587517535</v>
      </c>
      <c r="F110" s="9">
        <v>14.741818509716024</v>
      </c>
      <c r="G110" s="9">
        <v>14.096894001227469</v>
      </c>
      <c r="H110" s="9">
        <v>13.445758872388621</v>
      </c>
    </row>
    <row r="111" spans="1:8">
      <c r="A111" s="404"/>
      <c r="B111" s="295">
        <v>2</v>
      </c>
      <c r="C111" s="9">
        <v>12.487144326362701</v>
      </c>
      <c r="D111" s="9">
        <v>11.95664492010482</v>
      </c>
      <c r="E111" s="9">
        <v>11.46764242699895</v>
      </c>
      <c r="F111" s="9">
        <v>10.988849588952935</v>
      </c>
      <c r="G111" s="9">
        <v>10.552367625482324</v>
      </c>
      <c r="H111" s="9">
        <v>10.107222666420649</v>
      </c>
    </row>
    <row r="112" spans="1:8">
      <c r="A112" s="404"/>
      <c r="B112" s="295">
        <v>3</v>
      </c>
      <c r="C112" s="9">
        <v>9.1948857513271243</v>
      </c>
      <c r="D112" s="9">
        <v>8.8575341041063584</v>
      </c>
      <c r="E112" s="9">
        <v>8.5410259129635531</v>
      </c>
      <c r="F112" s="9">
        <v>8.2248190815802698</v>
      </c>
      <c r="G112" s="9">
        <v>7.9298825757013836</v>
      </c>
      <c r="H112" s="9">
        <v>7.6269388540353074</v>
      </c>
    </row>
    <row r="113" spans="1:8">
      <c r="A113" s="404"/>
      <c r="B113" s="295">
        <v>4</v>
      </c>
      <c r="C113" s="9">
        <v>6.8306492797452991</v>
      </c>
      <c r="D113" s="9">
        <v>6.6157244948764653</v>
      </c>
      <c r="E113" s="9">
        <v>6.409631045794935</v>
      </c>
      <c r="F113" s="9">
        <v>6.2021778879247087</v>
      </c>
      <c r="G113" s="9">
        <v>6.0042188049685681</v>
      </c>
      <c r="H113" s="9">
        <v>5.794636768912711</v>
      </c>
    </row>
    <row r="114" spans="1:8">
      <c r="A114" s="404"/>
      <c r="B114" s="295">
        <v>5</v>
      </c>
      <c r="C114" s="9">
        <v>5.1482223191515786</v>
      </c>
      <c r="D114" s="9">
        <v>5.0065900553441178</v>
      </c>
      <c r="E114" s="9">
        <v>4.874251802348339</v>
      </c>
      <c r="F114" s="9">
        <v>4.7340744972242979</v>
      </c>
      <c r="G114" s="9">
        <v>4.5956251254264497</v>
      </c>
      <c r="H114" s="9">
        <v>4.4518206464367962</v>
      </c>
    </row>
    <row r="115" spans="1:8">
      <c r="A115" s="404"/>
      <c r="B115" s="295">
        <v>6</v>
      </c>
      <c r="C115" s="9">
        <v>3.9608022858163907</v>
      </c>
      <c r="D115" s="9">
        <v>3.864839399606157</v>
      </c>
      <c r="E115" s="9">
        <v>3.7740998136208721</v>
      </c>
      <c r="F115" s="9">
        <v>3.6793399487122316</v>
      </c>
      <c r="G115" s="9">
        <v>3.5813762549163002</v>
      </c>
      <c r="H115" s="9">
        <v>3.4751913946544821</v>
      </c>
    </row>
    <row r="116" spans="1:8">
      <c r="A116" s="404"/>
      <c r="B116" s="295">
        <v>7</v>
      </c>
      <c r="C116" s="9">
        <v>3.131733699617977</v>
      </c>
      <c r="D116" s="9">
        <v>3.0625938376094495</v>
      </c>
      <c r="E116" s="9">
        <v>2.999261423846376</v>
      </c>
      <c r="F116" s="9">
        <v>2.9288318754017029</v>
      </c>
      <c r="G116" s="9">
        <v>2.8548617327559089</v>
      </c>
      <c r="H116" s="9">
        <v>2.7756287980346186</v>
      </c>
    </row>
    <row r="117" spans="1:8">
      <c r="A117" s="404"/>
      <c r="B117" s="295">
        <v>8</v>
      </c>
      <c r="C117" s="9">
        <v>2.5659072887803922</v>
      </c>
      <c r="D117" s="9">
        <v>2.5145967172456554</v>
      </c>
      <c r="E117" s="9">
        <v>2.4620899778944967</v>
      </c>
      <c r="F117" s="9">
        <v>2.4058862083458807</v>
      </c>
      <c r="G117" s="9">
        <v>2.3474398234425577</v>
      </c>
      <c r="H117" s="9">
        <v>2.286577275849468</v>
      </c>
    </row>
    <row r="118" spans="1:8">
      <c r="A118" s="404"/>
      <c r="B118" s="295">
        <v>9</v>
      </c>
      <c r="C118" s="9">
        <v>2.1947204779613485</v>
      </c>
      <c r="D118" s="9">
        <v>2.1474486095180922</v>
      </c>
      <c r="E118" s="9">
        <v>2.1030821030821034</v>
      </c>
      <c r="F118" s="9">
        <v>2.057424178408068</v>
      </c>
      <c r="G118" s="9">
        <v>2.008246077947069</v>
      </c>
      <c r="H118" s="9">
        <v>1.9555449869213151</v>
      </c>
    </row>
    <row r="119" spans="1:8">
      <c r="A119" s="404"/>
      <c r="B119" s="295">
        <v>10</v>
      </c>
      <c r="C119" s="9">
        <v>1.9712876004857132</v>
      </c>
      <c r="D119" s="9">
        <v>1.9294581222409859</v>
      </c>
      <c r="E119" s="9">
        <v>1.8872147467748146</v>
      </c>
      <c r="F119" s="9">
        <v>1.8446768268097646</v>
      </c>
      <c r="G119" s="9">
        <v>1.7974684815408022</v>
      </c>
      <c r="H119" s="9">
        <v>1.7502964342158689</v>
      </c>
    </row>
    <row r="120" spans="1:8">
      <c r="A120" s="404"/>
      <c r="B120" s="295">
        <v>11</v>
      </c>
      <c r="C120" s="9">
        <v>1.8679687547075825</v>
      </c>
      <c r="D120" s="9">
        <v>1.8253726802555521</v>
      </c>
      <c r="E120" s="9">
        <v>1.7850052139965191</v>
      </c>
      <c r="F120" s="9">
        <v>1.7439638576049921</v>
      </c>
      <c r="G120" s="9">
        <v>1.6993031123256697</v>
      </c>
      <c r="H120" s="9">
        <v>1.6566813051563365</v>
      </c>
    </row>
    <row r="121" spans="1:8">
      <c r="A121" s="404"/>
      <c r="B121" s="295">
        <v>12</v>
      </c>
      <c r="C121" s="9">
        <v>1.870360874572339</v>
      </c>
      <c r="D121" s="9">
        <v>1.8237485884065148</v>
      </c>
      <c r="E121" s="9">
        <v>1.7828510566865601</v>
      </c>
      <c r="F121" s="9">
        <v>1.7403495201953061</v>
      </c>
      <c r="G121" s="9">
        <v>1.6972037489504845</v>
      </c>
      <c r="H121" s="9">
        <v>1.6504144277491994</v>
      </c>
    </row>
    <row r="122" spans="1:8">
      <c r="A122" s="404"/>
      <c r="B122" s="295">
        <v>13</v>
      </c>
      <c r="C122" s="9">
        <v>1.9614526183853203</v>
      </c>
      <c r="D122" s="9">
        <v>1.9169921340124965</v>
      </c>
      <c r="E122" s="9">
        <v>1.8762672369443072</v>
      </c>
      <c r="F122" s="9">
        <v>1.8294015381670012</v>
      </c>
      <c r="G122" s="9">
        <v>1.7852550603967809</v>
      </c>
      <c r="H122" s="9">
        <v>1.736702247444039</v>
      </c>
    </row>
    <row r="123" spans="1:8">
      <c r="A123" s="404"/>
      <c r="B123" s="295">
        <v>14</v>
      </c>
      <c r="C123" s="9">
        <v>2.1454988169894107</v>
      </c>
      <c r="D123" s="9">
        <v>2.0948735137423697</v>
      </c>
      <c r="E123" s="9">
        <v>2.0486912664502515</v>
      </c>
      <c r="F123" s="9">
        <v>1.9944535581577398</v>
      </c>
      <c r="G123" s="9">
        <v>1.9505536586453542</v>
      </c>
      <c r="H123" s="9">
        <v>1.8977742246396843</v>
      </c>
    </row>
    <row r="124" spans="1:8">
      <c r="A124" s="404"/>
      <c r="B124" s="295">
        <v>15</v>
      </c>
      <c r="C124" s="9">
        <v>2.3921208620263998</v>
      </c>
      <c r="D124" s="9">
        <v>2.3418717917393699</v>
      </c>
      <c r="E124" s="9">
        <v>2.2872159229159572</v>
      </c>
      <c r="F124" s="9">
        <v>2.2331643981897389</v>
      </c>
      <c r="G124" s="9">
        <v>2.1835035897935415</v>
      </c>
      <c r="H124" s="9">
        <v>2.127101095632054</v>
      </c>
    </row>
    <row r="125" spans="1:8">
      <c r="A125" s="404"/>
      <c r="B125" s="295">
        <v>16</v>
      </c>
      <c r="C125" s="9">
        <v>2.6883547420010117</v>
      </c>
      <c r="D125" s="9">
        <v>2.6332892044770735</v>
      </c>
      <c r="E125" s="9">
        <v>2.5774925208756074</v>
      </c>
      <c r="F125" s="9">
        <v>2.5137289125457722</v>
      </c>
      <c r="G125" s="9">
        <v>2.4589937270134072</v>
      </c>
      <c r="H125" s="9">
        <v>2.398550282002728</v>
      </c>
    </row>
    <row r="126" spans="1:8">
      <c r="A126" s="404"/>
      <c r="B126" s="295">
        <v>17</v>
      </c>
      <c r="C126" s="9">
        <v>2.989956608519786</v>
      </c>
      <c r="D126" s="9">
        <v>2.9298283343242799</v>
      </c>
      <c r="E126" s="9">
        <v>2.8676989738183432</v>
      </c>
      <c r="F126" s="9">
        <v>2.8034450294640676</v>
      </c>
      <c r="G126" s="9">
        <v>2.7400439121043894</v>
      </c>
      <c r="H126" s="9">
        <v>2.6739281328421165</v>
      </c>
    </row>
    <row r="127" spans="1:8">
      <c r="A127" s="404"/>
      <c r="B127" s="295">
        <v>18</v>
      </c>
      <c r="C127" s="9">
        <v>3.2627787535851658</v>
      </c>
      <c r="D127" s="9">
        <v>3.1947433405068386</v>
      </c>
      <c r="E127" s="9">
        <v>3.1336560252930807</v>
      </c>
      <c r="F127" s="9">
        <v>3.0585798269884412</v>
      </c>
      <c r="G127" s="9">
        <v>2.9924160954580739</v>
      </c>
      <c r="H127" s="9">
        <v>2.9233080009863923</v>
      </c>
    </row>
    <row r="128" spans="1:8">
      <c r="A128" s="404"/>
      <c r="B128" s="295">
        <v>19</v>
      </c>
      <c r="C128" s="9">
        <v>3.4737525806676097</v>
      </c>
      <c r="D128" s="9">
        <v>3.4029787257859594</v>
      </c>
      <c r="E128" s="9">
        <v>3.3375723721983444</v>
      </c>
      <c r="F128" s="9">
        <v>3.2609474664946605</v>
      </c>
      <c r="G128" s="9">
        <v>3.1910962541326411</v>
      </c>
      <c r="H128" s="9">
        <v>3.1164728859808077</v>
      </c>
    </row>
    <row r="129" spans="1:8">
      <c r="A129" s="404"/>
      <c r="B129" s="295">
        <v>20</v>
      </c>
      <c r="C129" s="9">
        <v>3.6267771058199001</v>
      </c>
      <c r="D129" s="9">
        <v>3.5472908807742094</v>
      </c>
      <c r="E129" s="9">
        <v>3.4822296412120188</v>
      </c>
      <c r="F129" s="9">
        <v>3.398870105343359</v>
      </c>
      <c r="G129" s="9">
        <v>3.3310816733786757</v>
      </c>
      <c r="H129" s="9">
        <v>3.2492307692307696</v>
      </c>
    </row>
    <row r="130" spans="1:8">
      <c r="A130" s="404"/>
      <c r="B130" s="295">
        <v>21</v>
      </c>
      <c r="C130" s="9">
        <v>3.7339686223198743</v>
      </c>
      <c r="D130" s="9">
        <v>3.6568918229847118</v>
      </c>
      <c r="E130" s="9">
        <v>3.5848095901014516</v>
      </c>
      <c r="F130" s="9">
        <v>3.5031141947095596</v>
      </c>
      <c r="G130" s="9">
        <v>3.4312977930764035</v>
      </c>
      <c r="H130" s="9">
        <v>3.3470241323034533</v>
      </c>
    </row>
    <row r="131" spans="1:8">
      <c r="A131" s="404"/>
      <c r="B131" s="295">
        <v>22</v>
      </c>
      <c r="C131" s="9">
        <v>3.8256942067602195</v>
      </c>
      <c r="D131" s="9">
        <v>3.7417507159755941</v>
      </c>
      <c r="E131" s="9">
        <v>3.6726590598844084</v>
      </c>
      <c r="F131" s="9">
        <v>3.5900996326823682</v>
      </c>
      <c r="G131" s="9">
        <v>3.5155925691595504</v>
      </c>
      <c r="H131" s="9">
        <v>3.432497416031298</v>
      </c>
    </row>
    <row r="132" spans="1:8">
      <c r="A132" s="404"/>
      <c r="B132" s="295">
        <v>23</v>
      </c>
      <c r="C132" s="9">
        <v>3.9170407815555017</v>
      </c>
      <c r="D132" s="9">
        <v>3.8347692198439618</v>
      </c>
      <c r="E132" s="9">
        <v>3.7588676960149097</v>
      </c>
      <c r="F132" s="9">
        <v>3.6790517857197607</v>
      </c>
      <c r="G132" s="9">
        <v>3.6039919299316914</v>
      </c>
      <c r="H132" s="9">
        <v>3.488499483932721</v>
      </c>
    </row>
    <row r="133" spans="1:8">
      <c r="A133" s="404"/>
      <c r="B133" s="295">
        <v>24</v>
      </c>
      <c r="C133" s="9">
        <v>4.0225703263361661</v>
      </c>
      <c r="D133" s="9">
        <v>3.9338262304060057</v>
      </c>
      <c r="E133" s="9">
        <v>3.8596091576224021</v>
      </c>
      <c r="F133" s="9">
        <v>3.7787560486997473</v>
      </c>
      <c r="G133" s="9">
        <v>3.7002775208140606</v>
      </c>
      <c r="H133" s="9">
        <v>3.5216788277151294</v>
      </c>
    </row>
    <row r="134" spans="1:8">
      <c r="A134" s="404"/>
      <c r="B134" s="295">
        <v>25</v>
      </c>
      <c r="C134" s="9">
        <v>4.1345318511426701</v>
      </c>
      <c r="D134" s="9">
        <v>4.0473484323455216</v>
      </c>
      <c r="E134" s="9">
        <v>3.9666505037444102</v>
      </c>
      <c r="F134" s="9">
        <v>3.8806391563713722</v>
      </c>
      <c r="G134" s="9">
        <v>3.807552497588337</v>
      </c>
      <c r="H134" s="9">
        <v>3.5531286232561614</v>
      </c>
    </row>
    <row r="135" spans="1:8">
      <c r="A135" s="404"/>
      <c r="B135" s="295">
        <v>26</v>
      </c>
      <c r="C135" s="9">
        <v>4.2389364123183633</v>
      </c>
      <c r="D135" s="9">
        <v>4.153225373342738</v>
      </c>
      <c r="E135" s="9">
        <v>4.0746577951418619</v>
      </c>
      <c r="F135" s="9">
        <v>3.9886252832637412</v>
      </c>
      <c r="G135" s="9">
        <v>3.9106385940260022</v>
      </c>
      <c r="H135" s="9">
        <v>3.591415358771453</v>
      </c>
    </row>
    <row r="136" spans="1:8">
      <c r="A136" s="404"/>
      <c r="B136" s="295">
        <v>27</v>
      </c>
      <c r="C136" s="9">
        <v>4.3297339610698486</v>
      </c>
      <c r="D136" s="9">
        <v>4.236074913186159</v>
      </c>
      <c r="E136" s="9">
        <v>4.1597608137532083</v>
      </c>
      <c r="F136" s="9">
        <v>4.0762354766480362</v>
      </c>
      <c r="G136" s="9">
        <v>3.9990533973090412</v>
      </c>
      <c r="H136" s="9">
        <v>3.6528887538440484</v>
      </c>
    </row>
    <row r="137" spans="1:8">
      <c r="A137" s="404"/>
      <c r="B137" s="295">
        <v>28</v>
      </c>
      <c r="C137" s="9">
        <v>4.3938732881075833</v>
      </c>
      <c r="D137" s="9">
        <v>4.3035150415035828</v>
      </c>
      <c r="E137" s="9">
        <v>4.2275784711862023</v>
      </c>
      <c r="F137" s="9">
        <v>4.1389612518900414</v>
      </c>
      <c r="G137" s="9">
        <v>4.0579359344465367</v>
      </c>
      <c r="H137" s="9">
        <v>3.7181401006247583</v>
      </c>
    </row>
    <row r="138" spans="1:8">
      <c r="A138" s="404"/>
      <c r="B138" s="295">
        <v>29</v>
      </c>
      <c r="C138" s="9">
        <v>4.4319739820807964</v>
      </c>
      <c r="D138" s="9">
        <v>4.3423688908638747</v>
      </c>
      <c r="E138" s="9">
        <v>4.2710760442208908</v>
      </c>
      <c r="F138" s="9">
        <v>4.175583666670402</v>
      </c>
      <c r="G138" s="9">
        <v>4.0969438417123314</v>
      </c>
      <c r="H138" s="9">
        <v>3.7799590444665201</v>
      </c>
    </row>
    <row r="139" spans="1:8">
      <c r="A139" s="404"/>
      <c r="B139" s="295">
        <v>30</v>
      </c>
      <c r="C139" s="9">
        <v>4.4583699704013773</v>
      </c>
      <c r="D139" s="9">
        <v>4.3691488206114393</v>
      </c>
      <c r="E139" s="9">
        <v>4.2919635733348009</v>
      </c>
      <c r="F139" s="9">
        <v>4.2085178246502197</v>
      </c>
      <c r="G139" s="9">
        <v>4.1235869929853788</v>
      </c>
      <c r="H139" s="9">
        <v>3.8309633724333656</v>
      </c>
    </row>
    <row r="140" spans="1:8">
      <c r="A140" s="404"/>
      <c r="B140" s="295">
        <v>31</v>
      </c>
      <c r="C140" s="9">
        <v>4.4858729116385376</v>
      </c>
      <c r="D140" s="9">
        <v>4.3997433483046819</v>
      </c>
      <c r="E140" s="9">
        <v>4.3237542842077517</v>
      </c>
      <c r="F140" s="9">
        <v>4.2337942407712807</v>
      </c>
      <c r="G140" s="9">
        <v>4.1533719946277881</v>
      </c>
      <c r="H140" s="9">
        <v>3.8879628821043601</v>
      </c>
    </row>
    <row r="141" spans="1:8">
      <c r="A141" s="404"/>
      <c r="B141" s="295">
        <v>32</v>
      </c>
      <c r="C141" s="9">
        <v>4.5283483398987059</v>
      </c>
      <c r="D141" s="9">
        <v>4.4406578369865493</v>
      </c>
      <c r="E141" s="9">
        <v>4.3595860493246423</v>
      </c>
      <c r="F141" s="9">
        <v>4.2703403592157949</v>
      </c>
      <c r="G141" s="9">
        <v>4.1912958622951351</v>
      </c>
      <c r="H141" s="9">
        <v>3.9565870136369319</v>
      </c>
    </row>
    <row r="142" spans="1:8">
      <c r="A142" s="404"/>
      <c r="B142" s="295">
        <v>33</v>
      </c>
      <c r="C142" s="9">
        <v>4.5928185019787247</v>
      </c>
      <c r="D142" s="9">
        <v>4.5067623614370182</v>
      </c>
      <c r="E142" s="9">
        <v>4.4239151649209552</v>
      </c>
      <c r="F142" s="9">
        <v>4.3366493454793389</v>
      </c>
      <c r="G142" s="9">
        <v>4.2496833367028231</v>
      </c>
      <c r="H142" s="9">
        <v>4.0519911548980359</v>
      </c>
    </row>
    <row r="143" spans="1:8">
      <c r="A143" s="404"/>
      <c r="B143" s="295">
        <v>34</v>
      </c>
      <c r="C143" s="9">
        <v>4.6827154096198234</v>
      </c>
      <c r="D143" s="9">
        <v>4.5966697036429975</v>
      </c>
      <c r="E143" s="9">
        <v>4.5153185534886431</v>
      </c>
      <c r="F143" s="9">
        <v>4.4252818274839729</v>
      </c>
      <c r="G143" s="9">
        <v>4.3395807349951303</v>
      </c>
      <c r="H143" s="9">
        <v>4.1716873727510695</v>
      </c>
    </row>
    <row r="144" spans="1:8">
      <c r="A144" s="404"/>
      <c r="B144" s="295">
        <v>35</v>
      </c>
      <c r="C144" s="9">
        <v>4.8101514853433018</v>
      </c>
      <c r="D144" s="9">
        <v>4.7140671184314318</v>
      </c>
      <c r="E144" s="9">
        <v>4.6324492922134244</v>
      </c>
      <c r="F144" s="9">
        <v>4.542996214169821</v>
      </c>
      <c r="G144" s="9">
        <v>4.4626911085730416</v>
      </c>
      <c r="H144" s="9">
        <v>4.3185767622718121</v>
      </c>
    </row>
    <row r="145" spans="1:8">
      <c r="A145" s="404"/>
      <c r="B145" s="295">
        <v>36</v>
      </c>
      <c r="C145" s="9">
        <v>4.9529777322806963</v>
      </c>
      <c r="D145" s="9">
        <v>4.8618828385458004</v>
      </c>
      <c r="E145" s="9">
        <v>4.7794188073482369</v>
      </c>
      <c r="F145" s="9">
        <v>4.6791350576984785</v>
      </c>
      <c r="G145" s="9">
        <v>4.5992055917614234</v>
      </c>
      <c r="H145" s="9">
        <v>4.4942023900985442</v>
      </c>
    </row>
    <row r="146" spans="1:8">
      <c r="A146" s="404"/>
      <c r="B146" s="295">
        <v>37</v>
      </c>
      <c r="C146" s="9">
        <v>5.1127196616229877</v>
      </c>
      <c r="D146" s="9">
        <v>5.016922988667595</v>
      </c>
      <c r="E146" s="9">
        <v>4.9297288649124305</v>
      </c>
      <c r="F146" s="9">
        <v>4.8372146912292893</v>
      </c>
      <c r="G146" s="9">
        <v>4.7555399226169541</v>
      </c>
      <c r="H146" s="9">
        <v>4.6958455954707512</v>
      </c>
    </row>
    <row r="147" spans="1:8">
      <c r="A147" s="404"/>
      <c r="B147" s="295">
        <v>38</v>
      </c>
      <c r="C147" s="9">
        <v>5.2701981204108233</v>
      </c>
      <c r="D147" s="9">
        <v>5.1793814432989693</v>
      </c>
      <c r="E147" s="9">
        <v>5.0983401486402675</v>
      </c>
      <c r="F147" s="9">
        <v>4.9997983952259997</v>
      </c>
      <c r="G147" s="9">
        <v>4.9260364390402991</v>
      </c>
      <c r="H147" s="9">
        <v>4.9028174668776421</v>
      </c>
    </row>
    <row r="148" spans="1:8">
      <c r="A148" s="404"/>
      <c r="B148" s="295">
        <v>39</v>
      </c>
      <c r="C148" s="9">
        <v>5.4380481291536436</v>
      </c>
      <c r="D148" s="9">
        <v>5.3395724867234602</v>
      </c>
      <c r="E148" s="9">
        <v>5.2646745876928529</v>
      </c>
      <c r="F148" s="9">
        <v>5.1715184977162654</v>
      </c>
      <c r="G148" s="9">
        <v>5.0921361561994978</v>
      </c>
      <c r="H148" s="9">
        <v>5.108594401137422</v>
      </c>
    </row>
    <row r="149" spans="1:8">
      <c r="A149" s="404"/>
      <c r="B149" s="295">
        <v>40</v>
      </c>
      <c r="C149" s="9">
        <v>5.5917746798258037</v>
      </c>
      <c r="D149" s="9">
        <v>5.4982060419039227</v>
      </c>
      <c r="E149" s="9">
        <v>5.4171750132802519</v>
      </c>
      <c r="F149" s="9">
        <v>5.3300853707593969</v>
      </c>
      <c r="G149" s="9">
        <v>5.2467354833194424</v>
      </c>
      <c r="H149" s="9">
        <v>5.3135670005989288</v>
      </c>
    </row>
    <row r="150" spans="1:8">
      <c r="A150" s="404"/>
      <c r="B150" s="295">
        <v>41</v>
      </c>
      <c r="C150" s="9">
        <v>5.7373289242165937</v>
      </c>
      <c r="D150" s="9">
        <v>5.6413456039099463</v>
      </c>
      <c r="E150" s="9">
        <v>5.5671108422878239</v>
      </c>
      <c r="F150" s="9">
        <v>5.4734859631569659</v>
      </c>
      <c r="G150" s="9">
        <v>5.3860368684364719</v>
      </c>
      <c r="H150" s="9">
        <v>5.5115694516957223</v>
      </c>
    </row>
    <row r="151" spans="1:8">
      <c r="A151" s="404"/>
      <c r="B151" s="295">
        <v>42</v>
      </c>
      <c r="C151" s="9">
        <v>5.85242285938899</v>
      </c>
      <c r="D151" s="9">
        <v>5.7607426799195984</v>
      </c>
      <c r="E151" s="9">
        <v>5.6869553822970582</v>
      </c>
      <c r="F151" s="9">
        <v>5.6006372280579475</v>
      </c>
      <c r="G151" s="9">
        <v>5.5195171312754834</v>
      </c>
      <c r="H151" s="9">
        <v>5.6874297585396594</v>
      </c>
    </row>
    <row r="152" spans="1:8">
      <c r="A152" s="404"/>
      <c r="B152" s="295">
        <v>43</v>
      </c>
      <c r="C152" s="9">
        <v>5.9725510219870337</v>
      </c>
      <c r="D152" s="9">
        <v>5.875311207890543</v>
      </c>
      <c r="E152" s="9">
        <v>5.8076781125742496</v>
      </c>
      <c r="F152" s="9">
        <v>5.7210052057183622</v>
      </c>
      <c r="G152" s="9">
        <v>5.6479093322288536</v>
      </c>
      <c r="H152" s="9">
        <v>5.848232972552772</v>
      </c>
    </row>
    <row r="153" spans="1:8">
      <c r="A153" s="404"/>
      <c r="B153" s="295">
        <v>44</v>
      </c>
      <c r="C153" s="9">
        <v>6.100117562912601</v>
      </c>
      <c r="D153" s="9">
        <v>6.0104597611427675</v>
      </c>
      <c r="E153" s="9">
        <v>5.9382774552778104</v>
      </c>
      <c r="F153" s="9">
        <v>5.8561658263934726</v>
      </c>
      <c r="G153" s="9">
        <v>5.7694870086608923</v>
      </c>
      <c r="H153" s="9">
        <v>6.0198680940667622</v>
      </c>
    </row>
    <row r="154" spans="1:8">
      <c r="A154" s="404"/>
      <c r="B154" s="295">
        <v>45</v>
      </c>
      <c r="C154" s="9">
        <v>6.2658719423330336</v>
      </c>
      <c r="D154" s="9">
        <v>6.1717129821650767</v>
      </c>
      <c r="E154" s="9">
        <v>6.09165820603027</v>
      </c>
      <c r="F154" s="9">
        <v>6.0181590108117797</v>
      </c>
      <c r="G154" s="9">
        <v>5.9345079598889576</v>
      </c>
      <c r="H154" s="9">
        <v>6.2169765084224595</v>
      </c>
    </row>
    <row r="155" spans="1:8">
      <c r="A155" s="404"/>
      <c r="B155" s="295">
        <v>46</v>
      </c>
      <c r="C155" s="9">
        <v>6.4659751152329132</v>
      </c>
      <c r="D155" s="9">
        <v>6.3757650477742063</v>
      </c>
      <c r="E155" s="9">
        <v>6.3071955565221751</v>
      </c>
      <c r="F155" s="9">
        <v>6.2231112381133817</v>
      </c>
      <c r="G155" s="9">
        <v>6.1455038409399005</v>
      </c>
      <c r="H155" s="9">
        <v>6.4667171061084074</v>
      </c>
    </row>
    <row r="156" spans="1:8">
      <c r="A156" s="404"/>
      <c r="B156" s="295">
        <v>47</v>
      </c>
      <c r="C156" s="9">
        <v>6.7634266725309091</v>
      </c>
      <c r="D156" s="9">
        <v>6.675119331742243</v>
      </c>
      <c r="E156" s="9">
        <v>6.6081642803851208</v>
      </c>
      <c r="F156" s="9">
        <v>6.5140533106072747</v>
      </c>
      <c r="G156" s="9">
        <v>6.4382322087780972</v>
      </c>
      <c r="H156" s="9">
        <v>6.8029276885230967</v>
      </c>
    </row>
    <row r="157" spans="1:8">
      <c r="A157" s="404"/>
      <c r="B157" s="295">
        <v>48</v>
      </c>
      <c r="C157" s="9">
        <v>7.1715699951431731</v>
      </c>
      <c r="D157" s="9">
        <v>7.0647669416268695</v>
      </c>
      <c r="E157" s="9">
        <v>6.9976768465307888</v>
      </c>
      <c r="F157" s="9">
        <v>6.9006927578573798</v>
      </c>
      <c r="G157" s="9">
        <v>6.8288446310124922</v>
      </c>
      <c r="H157" s="9">
        <v>7.2354926756787314</v>
      </c>
    </row>
    <row r="158" spans="1:8">
      <c r="A158" s="404"/>
      <c r="B158" s="295">
        <v>49</v>
      </c>
      <c r="C158" s="9">
        <v>7.655648494498184</v>
      </c>
      <c r="D158" s="9">
        <v>7.5555184504925696</v>
      </c>
      <c r="E158" s="9">
        <v>7.4684830017326886</v>
      </c>
      <c r="F158" s="9">
        <v>7.3858889648363331</v>
      </c>
      <c r="G158" s="9">
        <v>7.2916101250248788</v>
      </c>
      <c r="H158" s="9">
        <v>7.7653890425550198</v>
      </c>
    </row>
    <row r="159" spans="1:8">
      <c r="A159" s="404"/>
      <c r="B159" s="295">
        <v>50</v>
      </c>
      <c r="C159" s="9">
        <v>8.2207194277644469</v>
      </c>
      <c r="D159" s="9">
        <v>8.1314249826463492</v>
      </c>
      <c r="E159" s="9">
        <v>8.0292509193597663</v>
      </c>
      <c r="F159" s="9">
        <v>7.9239780783347591</v>
      </c>
      <c r="G159" s="9">
        <v>7.8424605000766974</v>
      </c>
      <c r="H159" s="9">
        <v>8.3642274047153791</v>
      </c>
    </row>
    <row r="160" spans="1:8">
      <c r="A160" s="404"/>
      <c r="B160" s="295">
        <v>51</v>
      </c>
      <c r="C160" s="9">
        <v>8.8524314116981984</v>
      </c>
      <c r="D160" s="9">
        <v>8.7275428253098735</v>
      </c>
      <c r="E160" s="9">
        <v>8.6374817733551499</v>
      </c>
      <c r="F160" s="9">
        <v>8.5379095960993894</v>
      </c>
      <c r="G160" s="9">
        <v>8.4330739062404749</v>
      </c>
      <c r="H160" s="9">
        <v>9.0240123934934164</v>
      </c>
    </row>
    <row r="161" spans="1:8">
      <c r="A161" s="404"/>
      <c r="B161" s="295">
        <v>52</v>
      </c>
      <c r="C161" s="9">
        <v>9.48509485094851</v>
      </c>
      <c r="D161" s="9">
        <v>9.3665989514274948</v>
      </c>
      <c r="E161" s="9">
        <v>9.267296999272693</v>
      </c>
      <c r="F161" s="9">
        <v>9.1364275668073134</v>
      </c>
      <c r="G161" s="9">
        <v>9.0403263127307163</v>
      </c>
      <c r="H161" s="9">
        <v>9.692190804739317</v>
      </c>
    </row>
    <row r="162" spans="1:8">
      <c r="A162" s="404"/>
      <c r="B162" s="295">
        <v>53</v>
      </c>
      <c r="C162" s="9">
        <v>10.104834392991894</v>
      </c>
      <c r="D162" s="9">
        <v>9.9786715417428393</v>
      </c>
      <c r="E162" s="9">
        <v>9.8908804605902549</v>
      </c>
      <c r="F162" s="9">
        <v>9.7527407337098371</v>
      </c>
      <c r="G162" s="9">
        <v>9.6509497308432053</v>
      </c>
      <c r="H162" s="9">
        <v>10.381187633981522</v>
      </c>
    </row>
    <row r="163" spans="1:8">
      <c r="A163" s="404"/>
      <c r="B163" s="295">
        <v>54</v>
      </c>
      <c r="C163" s="9">
        <v>10.722768917543267</v>
      </c>
      <c r="D163" s="9">
        <v>10.600473188204662</v>
      </c>
      <c r="E163" s="9">
        <v>10.508330871112365</v>
      </c>
      <c r="F163" s="9">
        <v>10.382690536065533</v>
      </c>
      <c r="G163" s="9">
        <v>10.278331452174539</v>
      </c>
      <c r="H163" s="9">
        <v>11.053667860309272</v>
      </c>
    </row>
    <row r="164" spans="1:8">
      <c r="A164" s="404"/>
      <c r="B164" s="295">
        <v>55</v>
      </c>
      <c r="C164" s="9">
        <v>11.403087865872591</v>
      </c>
      <c r="D164" s="9">
        <v>11.274577203354871</v>
      </c>
      <c r="E164" s="9">
        <v>11.160774027781494</v>
      </c>
      <c r="F164" s="9">
        <v>11.030176899063475</v>
      </c>
      <c r="G164" s="9">
        <v>10.916700282371924</v>
      </c>
      <c r="H164" s="9">
        <v>11.790876049934969</v>
      </c>
    </row>
    <row r="165" spans="1:8">
      <c r="A165" s="404"/>
      <c r="B165" s="295">
        <v>56</v>
      </c>
      <c r="C165" s="9">
        <v>12.204758977961189</v>
      </c>
      <c r="D165" s="9">
        <v>12.044573504799233</v>
      </c>
      <c r="E165" s="9">
        <v>11.923666248781165</v>
      </c>
      <c r="F165" s="9">
        <v>11.795810453528574</v>
      </c>
      <c r="G165" s="9">
        <v>11.676792703981445</v>
      </c>
      <c r="H165" s="9">
        <v>12.617168543917453</v>
      </c>
    </row>
    <row r="166" spans="1:8">
      <c r="A166" s="404"/>
      <c r="B166" s="295">
        <v>57</v>
      </c>
      <c r="C166" s="9">
        <v>13.165859564164649</v>
      </c>
      <c r="D166" s="9">
        <v>13.004171429419712</v>
      </c>
      <c r="E166" s="9">
        <v>12.879644939517885</v>
      </c>
      <c r="F166" s="9">
        <v>12.711864406779663</v>
      </c>
      <c r="G166" s="9">
        <v>12.593315644032613</v>
      </c>
      <c r="H166" s="9">
        <v>13.656163980865337</v>
      </c>
    </row>
    <row r="167" spans="1:8">
      <c r="A167" s="404"/>
      <c r="B167" s="295">
        <v>58</v>
      </c>
      <c r="C167" s="9">
        <v>14.384439788611278</v>
      </c>
      <c r="D167" s="9">
        <v>14.199001152516328</v>
      </c>
      <c r="E167" s="9">
        <v>14.072623173120386</v>
      </c>
      <c r="F167" s="9">
        <v>13.896862900970129</v>
      </c>
      <c r="G167" s="9">
        <v>13.762454304350943</v>
      </c>
      <c r="H167" s="9">
        <v>14.930371445315771</v>
      </c>
    </row>
    <row r="168" spans="1:8">
      <c r="A168" s="404"/>
      <c r="B168" s="295">
        <v>59</v>
      </c>
      <c r="C168" s="9">
        <v>15.867629712217429</v>
      </c>
      <c r="D168" s="9">
        <v>15.673682202581547</v>
      </c>
      <c r="E168" s="9">
        <v>15.522276184081077</v>
      </c>
      <c r="F168" s="9">
        <v>15.31112199902009</v>
      </c>
      <c r="G168" s="9">
        <v>15.169194865810969</v>
      </c>
      <c r="H168" s="9">
        <v>16.492081761097918</v>
      </c>
    </row>
    <row r="169" spans="1:8">
      <c r="A169" s="404"/>
      <c r="B169" s="295">
        <v>60</v>
      </c>
      <c r="C169" s="9">
        <v>17.641162712996994</v>
      </c>
      <c r="D169" s="9">
        <v>17.440808200470574</v>
      </c>
      <c r="E169" s="9">
        <v>17.24640025885779</v>
      </c>
      <c r="F169" s="9">
        <v>17.037237170420052</v>
      </c>
      <c r="G169" s="9">
        <v>16.860410758251003</v>
      </c>
      <c r="H169" s="9">
        <v>18.333815535015454</v>
      </c>
    </row>
    <row r="170" spans="1:8">
      <c r="A170" s="404"/>
      <c r="B170" s="295">
        <v>61</v>
      </c>
      <c r="C170" s="9">
        <v>19.656613811448508</v>
      </c>
      <c r="D170" s="9">
        <v>19.427402862985684</v>
      </c>
      <c r="E170" s="9">
        <v>19.225607301033421</v>
      </c>
      <c r="F170" s="9">
        <v>18.96938506202164</v>
      </c>
      <c r="G170" s="9">
        <v>18.795774191457642</v>
      </c>
      <c r="H170" s="9">
        <v>20.435404417606865</v>
      </c>
    </row>
    <row r="171" spans="1:8">
      <c r="A171" s="404"/>
      <c r="B171" s="295">
        <v>62</v>
      </c>
      <c r="C171" s="9">
        <v>21.86046511627907</v>
      </c>
      <c r="D171" s="9">
        <v>21.610932589427591</v>
      </c>
      <c r="E171" s="9">
        <v>21.380691216157395</v>
      </c>
      <c r="F171" s="9">
        <v>21.11469116336464</v>
      </c>
      <c r="G171" s="9">
        <v>20.894063726894366</v>
      </c>
      <c r="H171" s="9">
        <v>22.750227667853299</v>
      </c>
    </row>
    <row r="172" spans="1:8">
      <c r="A172" s="404"/>
      <c r="B172" s="295">
        <v>63</v>
      </c>
      <c r="C172" s="9">
        <v>24.176477141902183</v>
      </c>
      <c r="D172" s="9">
        <v>23.89722726189822</v>
      </c>
      <c r="E172" s="9">
        <v>23.682973569078353</v>
      </c>
      <c r="F172" s="9">
        <v>23.351574894383148</v>
      </c>
      <c r="G172" s="9">
        <v>23.123618372574477</v>
      </c>
      <c r="H172" s="9">
        <v>25.160922912316426</v>
      </c>
    </row>
    <row r="173" spans="1:8">
      <c r="A173" s="404"/>
      <c r="B173" s="295">
        <v>64</v>
      </c>
      <c r="C173" s="9">
        <v>26.627963231736814</v>
      </c>
      <c r="D173" s="9">
        <v>26.348903717826499</v>
      </c>
      <c r="E173" s="9">
        <v>26.066840947132835</v>
      </c>
      <c r="F173" s="9">
        <v>25.748525210551698</v>
      </c>
      <c r="G173" s="9">
        <v>25.494714510406379</v>
      </c>
      <c r="H173" s="9">
        <v>27.736752998811284</v>
      </c>
    </row>
    <row r="174" spans="1:8">
      <c r="A174" s="404"/>
      <c r="B174" s="295">
        <v>65</v>
      </c>
      <c r="C174" s="9">
        <v>29.225036947607251</v>
      </c>
      <c r="D174" s="9">
        <v>28.92199824715162</v>
      </c>
      <c r="E174" s="9">
        <v>28.637558353928839</v>
      </c>
      <c r="F174" s="9">
        <v>28.282906445871699</v>
      </c>
      <c r="G174" s="9">
        <v>28.007249833063053</v>
      </c>
      <c r="H174" s="9">
        <v>30.530040656527632</v>
      </c>
    </row>
    <row r="175" spans="1:8">
      <c r="A175" s="404"/>
      <c r="B175" s="295">
        <v>66</v>
      </c>
      <c r="C175" s="9">
        <v>32.122099472026257</v>
      </c>
      <c r="D175" s="9">
        <v>31.797868683396359</v>
      </c>
      <c r="E175" s="9">
        <v>31.479236443586004</v>
      </c>
      <c r="F175" s="9">
        <v>31.113448778119434</v>
      </c>
      <c r="G175" s="9">
        <v>30.839816477159385</v>
      </c>
      <c r="H175" s="9">
        <v>33.589289230163416</v>
      </c>
    </row>
    <row r="176" spans="1:8">
      <c r="A176" s="404"/>
      <c r="B176" s="295">
        <v>67</v>
      </c>
      <c r="C176" s="9">
        <v>35.479513732552903</v>
      </c>
      <c r="D176" s="9">
        <v>35.141715283200881</v>
      </c>
      <c r="E176" s="9">
        <v>34.76946334089191</v>
      </c>
      <c r="F176" s="9">
        <v>34.392602827080452</v>
      </c>
      <c r="G176" s="9">
        <v>34.062853077792191</v>
      </c>
      <c r="H176" s="9">
        <v>37.089812692315633</v>
      </c>
    </row>
    <row r="177" spans="1:8">
      <c r="A177" s="404"/>
      <c r="B177" s="295">
        <v>68</v>
      </c>
      <c r="C177" s="9">
        <v>39.406789588360702</v>
      </c>
      <c r="D177" s="9">
        <v>39.015718562874248</v>
      </c>
      <c r="E177" s="9">
        <v>38.688133571854507</v>
      </c>
      <c r="F177" s="9">
        <v>38.220088626292458</v>
      </c>
      <c r="G177" s="9">
        <v>37.902354005338985</v>
      </c>
      <c r="H177" s="9">
        <v>41.219183442758379</v>
      </c>
    </row>
    <row r="178" spans="1:8">
      <c r="A178" s="404"/>
      <c r="B178" s="295">
        <v>69</v>
      </c>
      <c r="C178" s="9">
        <v>44.073673895017215</v>
      </c>
      <c r="D178" s="9">
        <v>43.612184031682396</v>
      </c>
      <c r="E178" s="9">
        <v>43.222674829865603</v>
      </c>
      <c r="F178" s="9">
        <v>42.770110655228144</v>
      </c>
      <c r="G178" s="9">
        <v>42.432406427403059</v>
      </c>
      <c r="H178" s="9">
        <v>46.090800257850624</v>
      </c>
    </row>
    <row r="179" spans="1:8">
      <c r="A179" s="404"/>
      <c r="B179" s="295">
        <v>70</v>
      </c>
      <c r="C179" s="9">
        <v>49.448660655260866</v>
      </c>
      <c r="D179" s="9">
        <v>48.956576728499158</v>
      </c>
      <c r="E179" s="9">
        <v>48.52055847316511</v>
      </c>
      <c r="F179" s="9">
        <v>47.988961005775025</v>
      </c>
      <c r="G179" s="9">
        <v>47.658732225636747</v>
      </c>
      <c r="H179" s="9">
        <v>51.670198809163381</v>
      </c>
    </row>
    <row r="180" spans="1:8">
      <c r="A180" s="404"/>
      <c r="B180" s="295">
        <v>71</v>
      </c>
      <c r="C180" s="9">
        <v>55.500276395798785</v>
      </c>
      <c r="D180" s="9">
        <v>54.991634132738426</v>
      </c>
      <c r="E180" s="9">
        <v>54.538890894448912</v>
      </c>
      <c r="F180" s="9">
        <v>53.976736026772464</v>
      </c>
      <c r="G180" s="9">
        <v>53.552206673842846</v>
      </c>
      <c r="H180" s="9">
        <v>57.850785627952959</v>
      </c>
    </row>
    <row r="181" spans="1:8">
      <c r="A181" s="404"/>
      <c r="B181" s="295">
        <v>72</v>
      </c>
      <c r="C181" s="9">
        <v>62.232456528798757</v>
      </c>
      <c r="D181" s="9">
        <v>61.658502243994008</v>
      </c>
      <c r="E181" s="9">
        <v>61.161717733349114</v>
      </c>
      <c r="F181" s="9">
        <v>60.52577349936707</v>
      </c>
      <c r="G181" s="9">
        <v>60.056624817685247</v>
      </c>
      <c r="H181" s="9">
        <v>64.43505083971209</v>
      </c>
    </row>
    <row r="182" spans="1:8">
      <c r="A182" s="404"/>
      <c r="B182" s="295">
        <v>73</v>
      </c>
      <c r="C182" s="9">
        <v>69.451629591308844</v>
      </c>
      <c r="D182" s="9">
        <v>68.900246072307411</v>
      </c>
      <c r="E182" s="9">
        <v>68.285043069694595</v>
      </c>
      <c r="F182" s="9">
        <v>67.617905170780972</v>
      </c>
      <c r="G182" s="9">
        <v>67.152459325334505</v>
      </c>
      <c r="H182" s="9">
        <v>71.393643031784848</v>
      </c>
    </row>
    <row r="183" spans="1:8">
      <c r="A183" s="404"/>
      <c r="B183" s="295">
        <v>74</v>
      </c>
      <c r="C183" s="9">
        <v>77.277509705039364</v>
      </c>
      <c r="D183" s="9">
        <v>76.660632223924253</v>
      </c>
      <c r="E183" s="9">
        <v>76.030140519991861</v>
      </c>
      <c r="F183" s="9">
        <v>75.246724376031523</v>
      </c>
      <c r="G183" s="9">
        <v>74.77523324851569</v>
      </c>
      <c r="H183" s="9">
        <v>78.980288737870637</v>
      </c>
    </row>
    <row r="184" spans="1:8">
      <c r="A184" s="404"/>
      <c r="B184" s="295">
        <v>75</v>
      </c>
      <c r="C184" s="9">
        <v>85.87094053142134</v>
      </c>
      <c r="D184" s="9">
        <v>85.151634501772349</v>
      </c>
      <c r="E184" s="9">
        <v>84.507042253521121</v>
      </c>
      <c r="F184" s="9">
        <v>83.667537436991807</v>
      </c>
      <c r="G184" s="9">
        <v>83.129584352078254</v>
      </c>
      <c r="H184" s="9">
        <v>87.170992085404009</v>
      </c>
    </row>
    <row r="185" spans="1:8">
      <c r="A185" s="404"/>
      <c r="B185" s="295">
        <v>76</v>
      </c>
      <c r="C185" s="9">
        <v>95.459261821236225</v>
      </c>
      <c r="D185" s="9">
        <v>94.723223361981326</v>
      </c>
      <c r="E185" s="9">
        <v>94.063887571668758</v>
      </c>
      <c r="F185" s="9">
        <v>93.094333388402447</v>
      </c>
      <c r="G185" s="9">
        <v>92.583655083655088</v>
      </c>
      <c r="H185" s="9">
        <v>96.428856754813467</v>
      </c>
    </row>
    <row r="186" spans="1:8">
      <c r="A186" s="404"/>
      <c r="B186" s="295">
        <v>77</v>
      </c>
      <c r="C186" s="9">
        <v>106.33342800340813</v>
      </c>
      <c r="D186" s="9">
        <v>105.55677094727631</v>
      </c>
      <c r="E186" s="9">
        <v>104.83829765493282</v>
      </c>
      <c r="F186" s="9">
        <v>103.82930081920368</v>
      </c>
      <c r="G186" s="9">
        <v>103.24228190979981</v>
      </c>
      <c r="H186" s="9">
        <v>106.89195197865718</v>
      </c>
    </row>
    <row r="187" spans="1:8">
      <c r="A187" s="404"/>
      <c r="B187" s="295">
        <v>78</v>
      </c>
      <c r="C187" s="9">
        <v>118.90761792761009</v>
      </c>
      <c r="D187" s="9">
        <v>118.08118081180812</v>
      </c>
      <c r="E187" s="9">
        <v>117.24391139395424</v>
      </c>
      <c r="F187" s="9">
        <v>116.1754626456477</v>
      </c>
      <c r="G187" s="9">
        <v>115.5687985527296</v>
      </c>
      <c r="H187" s="9">
        <v>118.82298944362282</v>
      </c>
    </row>
    <row r="188" spans="1:8">
      <c r="A188" s="404"/>
      <c r="B188" s="295">
        <v>79</v>
      </c>
      <c r="C188" s="9">
        <v>133.10115081768626</v>
      </c>
      <c r="D188" s="9">
        <v>132.14682981090101</v>
      </c>
      <c r="E188" s="9">
        <v>131.28471470821611</v>
      </c>
      <c r="F188" s="9">
        <v>130.19064124783361</v>
      </c>
      <c r="G188" s="9">
        <v>129.56617314282022</v>
      </c>
      <c r="H188" s="9">
        <v>132.11186113789779</v>
      </c>
    </row>
    <row r="189" spans="1:8">
      <c r="A189" s="404"/>
      <c r="B189" s="295">
        <v>80</v>
      </c>
      <c r="C189" s="9">
        <v>148.74855259641933</v>
      </c>
      <c r="D189" s="9">
        <v>147.79270633397311</v>
      </c>
      <c r="E189" s="9">
        <v>146.80778422669854</v>
      </c>
      <c r="F189" s="9">
        <v>145.64153603715681</v>
      </c>
      <c r="G189" s="9">
        <v>144.95062121694809</v>
      </c>
      <c r="H189" s="9">
        <v>146.82716599791945</v>
      </c>
    </row>
    <row r="190" spans="1:8">
      <c r="A190" s="404"/>
      <c r="B190" s="295">
        <v>81</v>
      </c>
      <c r="C190" s="9">
        <v>165.55095101476996</v>
      </c>
      <c r="D190" s="9">
        <v>164.42357850808554</v>
      </c>
      <c r="E190" s="9">
        <v>163.48607000714361</v>
      </c>
      <c r="F190" s="9">
        <v>162.19451371571068</v>
      </c>
      <c r="G190" s="9">
        <v>161.56528477334368</v>
      </c>
      <c r="H190" s="9">
        <v>162.74528038686879</v>
      </c>
    </row>
    <row r="191" spans="1:8">
      <c r="A191" s="404"/>
      <c r="B191" s="295">
        <v>82</v>
      </c>
      <c r="C191" s="9">
        <v>182.91897462321265</v>
      </c>
      <c r="D191" s="9">
        <v>181.86423505572441</v>
      </c>
      <c r="E191" s="9">
        <v>180.80218552092387</v>
      </c>
      <c r="F191" s="9">
        <v>179.56806600339723</v>
      </c>
      <c r="G191" s="9">
        <v>178.93115298021092</v>
      </c>
      <c r="H191" s="9">
        <v>179.66413618587532</v>
      </c>
    </row>
    <row r="192" spans="1:8">
      <c r="A192" s="404"/>
      <c r="B192" s="295">
        <v>83</v>
      </c>
      <c r="C192" s="9">
        <v>200.92636958952244</v>
      </c>
      <c r="D192" s="9">
        <v>199.71870604781998</v>
      </c>
      <c r="E192" s="9">
        <v>198.83399815894447</v>
      </c>
      <c r="F192" s="9">
        <v>197.1746318004208</v>
      </c>
      <c r="G192" s="9">
        <v>196.62509170946441</v>
      </c>
      <c r="H192" s="9">
        <v>198.53889127632144</v>
      </c>
    </row>
    <row r="193" spans="1:8">
      <c r="A193" s="404"/>
      <c r="B193" s="295">
        <v>84</v>
      </c>
      <c r="C193" s="9">
        <v>219.29468990676938</v>
      </c>
      <c r="D193" s="9">
        <v>218.40442338072671</v>
      </c>
      <c r="E193" s="9">
        <v>217.16489874638378</v>
      </c>
      <c r="F193" s="9">
        <v>215.66401816118048</v>
      </c>
      <c r="G193" s="9">
        <v>215.22504167438413</v>
      </c>
      <c r="H193" s="9">
        <v>219.60926193921853</v>
      </c>
    </row>
    <row r="194" spans="1:8">
      <c r="A194" s="404"/>
      <c r="B194" s="295">
        <v>85</v>
      </c>
      <c r="C194" s="9">
        <v>239.51781970649895</v>
      </c>
      <c r="D194" s="9">
        <v>238.24130879345606</v>
      </c>
      <c r="E194" s="9">
        <v>237.25441432479482</v>
      </c>
      <c r="F194" s="9">
        <v>235.37976219364228</v>
      </c>
      <c r="G194" s="9">
        <v>234.95838287752673</v>
      </c>
      <c r="H194" s="9">
        <v>243.00373134328356</v>
      </c>
    </row>
    <row r="195" spans="1:8">
      <c r="A195" s="404"/>
      <c r="B195" s="295">
        <v>86</v>
      </c>
      <c r="C195" s="9">
        <v>261.41078838174275</v>
      </c>
      <c r="D195" s="9">
        <v>260.22304832713758</v>
      </c>
      <c r="E195" s="9">
        <v>259.12528773429796</v>
      </c>
      <c r="F195" s="9">
        <v>257.67263427109975</v>
      </c>
      <c r="G195" s="9">
        <v>256.93794823822884</v>
      </c>
      <c r="H195" s="9">
        <v>269.16002452483139</v>
      </c>
    </row>
    <row r="196" spans="1:8">
      <c r="A196" s="404"/>
      <c r="B196" s="295">
        <v>87</v>
      </c>
      <c r="C196" s="9">
        <v>287.32394366197184</v>
      </c>
      <c r="D196" s="9">
        <v>286.23685413808875</v>
      </c>
      <c r="E196" s="9">
        <v>285.20499108734396</v>
      </c>
      <c r="F196" s="9">
        <v>283.48504551365409</v>
      </c>
      <c r="G196" s="9">
        <v>283.06655433866888</v>
      </c>
      <c r="H196" s="9">
        <v>297.97771357820881</v>
      </c>
    </row>
    <row r="197" spans="1:8">
      <c r="A197" s="404"/>
      <c r="B197" s="295">
        <v>88</v>
      </c>
      <c r="C197" s="9">
        <v>317.52305665349138</v>
      </c>
      <c r="D197" s="9">
        <v>315.65495207667732</v>
      </c>
      <c r="E197" s="9">
        <v>314.09062693978893</v>
      </c>
      <c r="F197" s="9">
        <v>312.15970961887479</v>
      </c>
      <c r="G197" s="9">
        <v>311.76470588235293</v>
      </c>
      <c r="H197" s="9">
        <v>330.07475560667041</v>
      </c>
    </row>
    <row r="198" spans="1:8">
      <c r="A198" s="404"/>
      <c r="B198" s="295">
        <v>89</v>
      </c>
      <c r="C198" s="9">
        <v>350</v>
      </c>
      <c r="D198" s="9">
        <v>349.11792014856087</v>
      </c>
      <c r="E198" s="9">
        <v>348.29443447037698</v>
      </c>
      <c r="F198" s="9">
        <v>345.24847428073235</v>
      </c>
      <c r="G198" s="9">
        <v>344.94477485131694</v>
      </c>
      <c r="H198" s="9">
        <v>365.44850498338872</v>
      </c>
    </row>
    <row r="199" spans="1:8">
      <c r="A199" s="404"/>
      <c r="B199" s="295">
        <v>90</v>
      </c>
      <c r="C199" s="9">
        <v>388.80706921944034</v>
      </c>
      <c r="D199" s="9">
        <v>384.18079096045204</v>
      </c>
      <c r="E199" s="9">
        <v>382.11382113821134</v>
      </c>
      <c r="F199" s="9">
        <v>382.1989528795811</v>
      </c>
      <c r="G199" s="9">
        <v>382.16560509554137</v>
      </c>
      <c r="H199" s="9">
        <v>404.49438202247188</v>
      </c>
    </row>
    <row r="200" spans="1:8">
      <c r="A200" s="404"/>
      <c r="B200" s="295">
        <v>91</v>
      </c>
      <c r="C200" s="9">
        <v>425.531914893617</v>
      </c>
      <c r="D200" s="9">
        <v>424.37923250564336</v>
      </c>
      <c r="E200" s="9">
        <v>422.41379310344831</v>
      </c>
      <c r="F200" s="9">
        <v>422.36024844720492</v>
      </c>
      <c r="G200" s="9">
        <v>420.84168336673343</v>
      </c>
      <c r="H200" s="9">
        <v>442.27005870841492</v>
      </c>
    </row>
    <row r="201" spans="1:8">
      <c r="A201" s="404"/>
      <c r="B201" s="295">
        <v>92</v>
      </c>
      <c r="C201" s="9">
        <v>469.63562753036445</v>
      </c>
      <c r="D201" s="9">
        <v>459.77011494252866</v>
      </c>
      <c r="E201" s="9">
        <v>463.76811594202894</v>
      </c>
      <c r="F201" s="9">
        <v>458.33333333333337</v>
      </c>
      <c r="G201" s="9">
        <v>461.5384615384616</v>
      </c>
      <c r="H201" s="9">
        <v>485.43689320388353</v>
      </c>
    </row>
    <row r="202" spans="1:8">
      <c r="A202" s="404"/>
      <c r="B202" s="295">
        <v>93</v>
      </c>
      <c r="C202" s="9">
        <v>515.15151515151513</v>
      </c>
      <c r="D202" s="9">
        <v>507.04225352112672</v>
      </c>
      <c r="E202" s="9">
        <v>509.8039215686274</v>
      </c>
      <c r="F202" s="9">
        <v>509.31677018633536</v>
      </c>
      <c r="G202" s="9">
        <v>500</v>
      </c>
      <c r="H202" s="9">
        <v>537.14285714285711</v>
      </c>
    </row>
    <row r="203" spans="1:8">
      <c r="A203" s="404"/>
      <c r="B203" s="295">
        <v>94</v>
      </c>
      <c r="C203" s="9">
        <v>590.1639344262295</v>
      </c>
      <c r="D203" s="9">
        <v>550.72463768115927</v>
      </c>
      <c r="E203" s="9">
        <v>545.4545454545455</v>
      </c>
      <c r="F203" s="9">
        <v>560.97560975609747</v>
      </c>
      <c r="G203" s="9">
        <v>564.70588235294122</v>
      </c>
      <c r="H203" s="9">
        <v>600</v>
      </c>
    </row>
    <row r="204" spans="1:8">
      <c r="A204" s="404"/>
      <c r="B204" s="295">
        <v>95</v>
      </c>
      <c r="C204" s="9">
        <v>736.84210526315792</v>
      </c>
      <c r="D204" s="9">
        <v>666.66666666666663</v>
      </c>
      <c r="E204" s="9">
        <v>666.66666666666674</v>
      </c>
      <c r="F204" s="9">
        <v>647.05882352941171</v>
      </c>
      <c r="G204" s="9">
        <v>666.66666666666674</v>
      </c>
      <c r="H204" s="9">
        <v>1000</v>
      </c>
    </row>
    <row r="205" spans="1:8">
      <c r="A205" s="404"/>
      <c r="B205" s="295">
        <v>96</v>
      </c>
      <c r="C205" s="9">
        <v>1000</v>
      </c>
      <c r="D205" s="9">
        <v>800</v>
      </c>
      <c r="E205" s="9">
        <v>750</v>
      </c>
      <c r="F205" s="9">
        <v>800</v>
      </c>
      <c r="G205" s="9">
        <v>800</v>
      </c>
      <c r="H205" s="9">
        <v>1000</v>
      </c>
    </row>
    <row r="206" spans="1:8">
      <c r="A206" s="404"/>
      <c r="B206" s="295">
        <v>97</v>
      </c>
      <c r="C206" s="9">
        <v>0</v>
      </c>
      <c r="D206" s="9">
        <v>1000</v>
      </c>
      <c r="E206" s="9">
        <v>1000</v>
      </c>
      <c r="F206" s="9">
        <v>1000</v>
      </c>
      <c r="G206" s="9">
        <v>1000</v>
      </c>
      <c r="H206" s="9">
        <v>0</v>
      </c>
    </row>
    <row r="207" spans="1:8">
      <c r="A207" s="404"/>
      <c r="B207" s="295">
        <v>98</v>
      </c>
      <c r="C207" s="9">
        <v>0</v>
      </c>
      <c r="D207" s="9">
        <v>0</v>
      </c>
      <c r="E207" s="9">
        <v>0</v>
      </c>
      <c r="F207" s="9">
        <v>0</v>
      </c>
      <c r="G207" s="9">
        <v>0</v>
      </c>
      <c r="H207" s="9">
        <v>0</v>
      </c>
    </row>
    <row r="208" spans="1:8">
      <c r="A208" s="404"/>
      <c r="B208" s="295">
        <v>99</v>
      </c>
      <c r="C208" s="9">
        <v>0</v>
      </c>
      <c r="D208" s="9">
        <v>0</v>
      </c>
      <c r="E208" s="9">
        <v>0</v>
      </c>
      <c r="F208" s="9">
        <v>0</v>
      </c>
      <c r="G208" s="9">
        <v>0</v>
      </c>
      <c r="H208" s="9">
        <v>0</v>
      </c>
    </row>
    <row r="209" spans="1:8">
      <c r="A209" s="405"/>
      <c r="B209" s="295">
        <v>100</v>
      </c>
      <c r="C209" s="9">
        <v>0</v>
      </c>
      <c r="D209" s="9">
        <v>0</v>
      </c>
      <c r="E209" s="9">
        <v>0</v>
      </c>
      <c r="F209" s="9">
        <v>0</v>
      </c>
      <c r="G209" s="9">
        <v>0</v>
      </c>
      <c r="H209" s="9">
        <v>0</v>
      </c>
    </row>
    <row r="212" spans="1:8" ht="14.4" thickBot="1">
      <c r="A212" s="160" t="s">
        <v>333</v>
      </c>
    </row>
    <row r="213" spans="1:8">
      <c r="B213" s="4" t="s">
        <v>389</v>
      </c>
      <c r="C213" s="4">
        <v>2015</v>
      </c>
      <c r="D213" s="4">
        <v>2016</v>
      </c>
      <c r="E213" s="4">
        <v>2017</v>
      </c>
      <c r="F213" s="4">
        <v>2018</v>
      </c>
      <c r="G213" s="4">
        <v>2019</v>
      </c>
      <c r="H213" s="4">
        <v>2020</v>
      </c>
    </row>
    <row r="214" spans="1:8" ht="13.8" customHeight="1">
      <c r="A214" s="403" t="s">
        <v>334</v>
      </c>
      <c r="B214" s="295">
        <v>0</v>
      </c>
      <c r="C214" s="9">
        <v>84.12412325465246</v>
      </c>
      <c r="D214" s="9">
        <v>82.071563559905371</v>
      </c>
      <c r="E214" s="9">
        <v>80.161229065336983</v>
      </c>
      <c r="F214" s="9">
        <v>78.11824545221377</v>
      </c>
      <c r="G214" s="9">
        <v>75.914978101909739</v>
      </c>
      <c r="H214" s="9">
        <v>74.599387263322754</v>
      </c>
    </row>
    <row r="215" spans="1:8">
      <c r="A215" s="404"/>
      <c r="B215" s="295">
        <v>1</v>
      </c>
      <c r="C215" s="9">
        <v>19.340871729395154</v>
      </c>
      <c r="D215" s="9">
        <v>18.347098714937857</v>
      </c>
      <c r="E215" s="9">
        <v>17.592385839871859</v>
      </c>
      <c r="F215" s="9">
        <v>16.847190305104508</v>
      </c>
      <c r="G215" s="9">
        <v>16.100677551596874</v>
      </c>
      <c r="H215" s="9">
        <v>15.371957017643263</v>
      </c>
    </row>
    <row r="216" spans="1:8">
      <c r="A216" s="404"/>
      <c r="B216" s="295">
        <v>2</v>
      </c>
      <c r="C216" s="9">
        <v>13.000106420517877</v>
      </c>
      <c r="D216" s="9">
        <v>12.392005564877611</v>
      </c>
      <c r="E216" s="9">
        <v>11.940130497183819</v>
      </c>
      <c r="F216" s="9">
        <v>11.483243557709063</v>
      </c>
      <c r="G216" s="9">
        <v>11.021654067563968</v>
      </c>
      <c r="H216" s="9">
        <v>10.57044746050526</v>
      </c>
    </row>
    <row r="217" spans="1:8">
      <c r="A217" s="404"/>
      <c r="B217" s="295">
        <v>3</v>
      </c>
      <c r="C217" s="9">
        <v>8.824317571139904</v>
      </c>
      <c r="D217" s="9">
        <v>8.4539711715334818</v>
      </c>
      <c r="E217" s="9">
        <v>8.1846042906075365</v>
      </c>
      <c r="F217" s="9">
        <v>7.9077287215748289</v>
      </c>
      <c r="G217" s="9">
        <v>7.623524927338277</v>
      </c>
      <c r="H217" s="9">
        <v>7.3448146151728215</v>
      </c>
    </row>
    <row r="218" spans="1:8">
      <c r="A218" s="404"/>
      <c r="B218" s="295">
        <v>4</v>
      </c>
      <c r="C218" s="9">
        <v>6.1165109763897263</v>
      </c>
      <c r="D218" s="9">
        <v>5.8861485726965617</v>
      </c>
      <c r="E218" s="9">
        <v>5.7237669005916363</v>
      </c>
      <c r="F218" s="9">
        <v>5.5568049907875494</v>
      </c>
      <c r="G218" s="9">
        <v>5.3784923038739043</v>
      </c>
      <c r="H218" s="9">
        <v>5.2045649871085091</v>
      </c>
    </row>
    <row r="219" spans="1:8">
      <c r="A219" s="404"/>
      <c r="B219" s="295">
        <v>5</v>
      </c>
      <c r="C219" s="9">
        <v>4.3785482278713594</v>
      </c>
      <c r="D219" s="9">
        <v>4.2303151448905592</v>
      </c>
      <c r="E219" s="9">
        <v>4.1299874662071927</v>
      </c>
      <c r="F219" s="9">
        <v>4.0271170689242233</v>
      </c>
      <c r="G219" s="9">
        <v>3.911789566501827</v>
      </c>
      <c r="H219" s="9">
        <v>3.7986496430886363</v>
      </c>
    </row>
    <row r="220" spans="1:8">
      <c r="A220" s="404"/>
      <c r="B220" s="295">
        <v>6</v>
      </c>
      <c r="C220" s="9">
        <v>3.2708972643845877</v>
      </c>
      <c r="D220" s="9">
        <v>3.1740075363134603</v>
      </c>
      <c r="E220" s="9">
        <v>3.1102878986761571</v>
      </c>
      <c r="F220" s="9">
        <v>3.0440637809452804</v>
      </c>
      <c r="G220" s="9">
        <v>2.9657911823860799</v>
      </c>
      <c r="H220" s="9">
        <v>2.8888904546831728</v>
      </c>
    </row>
    <row r="221" spans="1:8">
      <c r="A221" s="404"/>
      <c r="B221" s="295">
        <v>7</v>
      </c>
      <c r="C221" s="9">
        <v>2.5782497108701086</v>
      </c>
      <c r="D221" s="9">
        <v>2.50569217311996</v>
      </c>
      <c r="E221" s="9">
        <v>2.4623279507158005</v>
      </c>
      <c r="F221" s="9">
        <v>2.4173832662344772</v>
      </c>
      <c r="G221" s="9">
        <v>2.3645902608438631</v>
      </c>
      <c r="H221" s="9">
        <v>2.3072214008501204</v>
      </c>
    </row>
    <row r="222" spans="1:8">
      <c r="A222" s="404"/>
      <c r="B222" s="295">
        <v>8</v>
      </c>
      <c r="C222" s="9">
        <v>2.1475510260908308</v>
      </c>
      <c r="D222" s="9">
        <v>2.0902369776721623</v>
      </c>
      <c r="E222" s="9">
        <v>2.0597054263313654</v>
      </c>
      <c r="F222" s="9">
        <v>2.0282540506120137</v>
      </c>
      <c r="G222" s="9">
        <v>1.9844414909831369</v>
      </c>
      <c r="H222" s="9">
        <v>1.9435136712558476</v>
      </c>
    </row>
    <row r="223" spans="1:8">
      <c r="A223" s="404"/>
      <c r="B223" s="295">
        <v>9</v>
      </c>
      <c r="C223" s="9">
        <v>1.8924613352125779</v>
      </c>
      <c r="D223" s="9">
        <v>1.8454142850415045</v>
      </c>
      <c r="E223" s="9">
        <v>1.8181542192815425</v>
      </c>
      <c r="F223" s="9">
        <v>1.7934967806732787</v>
      </c>
      <c r="G223" s="9">
        <v>1.7584467683813625</v>
      </c>
      <c r="H223" s="9">
        <v>1.7227265507593437</v>
      </c>
    </row>
    <row r="224" spans="1:8">
      <c r="A224" s="404"/>
      <c r="B224" s="295">
        <v>10</v>
      </c>
      <c r="C224" s="9">
        <v>1.7538928551351962</v>
      </c>
      <c r="D224" s="9">
        <v>1.7121215678554595</v>
      </c>
      <c r="E224" s="9">
        <v>1.6882474558320559</v>
      </c>
      <c r="F224" s="9">
        <v>1.666247006754553</v>
      </c>
      <c r="G224" s="9">
        <v>1.6336372443153508</v>
      </c>
      <c r="H224" s="9">
        <v>1.6038289838417386</v>
      </c>
    </row>
    <row r="225" spans="1:8">
      <c r="A225" s="404"/>
      <c r="B225" s="295">
        <v>11</v>
      </c>
      <c r="C225" s="9">
        <v>1.6999408545923862</v>
      </c>
      <c r="D225" s="9">
        <v>1.6597074108564389</v>
      </c>
      <c r="E225" s="9">
        <v>1.6393383297567048</v>
      </c>
      <c r="F225" s="9">
        <v>1.6178793174090116</v>
      </c>
      <c r="G225" s="9">
        <v>1.5881051264642989</v>
      </c>
      <c r="H225" s="9">
        <v>1.5579688798989284</v>
      </c>
    </row>
    <row r="226" spans="1:8">
      <c r="A226" s="404"/>
      <c r="B226" s="295">
        <v>12</v>
      </c>
      <c r="C226" s="9">
        <v>1.716449857338028</v>
      </c>
      <c r="D226" s="9">
        <v>1.6758702162147312</v>
      </c>
      <c r="E226" s="9">
        <v>1.6553395044891677</v>
      </c>
      <c r="F226" s="9">
        <v>1.6315934504213139</v>
      </c>
      <c r="G226" s="9">
        <v>1.6034328198488843</v>
      </c>
      <c r="H226" s="9">
        <v>1.5739804745008381</v>
      </c>
    </row>
    <row r="227" spans="1:8">
      <c r="A227" s="404"/>
      <c r="B227" s="295">
        <v>13</v>
      </c>
      <c r="C227" s="9">
        <v>1.7905179651491525</v>
      </c>
      <c r="D227" s="9">
        <v>1.7489371922168186</v>
      </c>
      <c r="E227" s="9">
        <v>1.730437210692529</v>
      </c>
      <c r="F227" s="9">
        <v>1.707780959184789</v>
      </c>
      <c r="G227" s="9">
        <v>1.6749627584202305</v>
      </c>
      <c r="H227" s="9">
        <v>1.6486886948818587</v>
      </c>
    </row>
    <row r="228" spans="1:8">
      <c r="A228" s="404"/>
      <c r="B228" s="295">
        <v>14</v>
      </c>
      <c r="C228" s="9">
        <v>1.9226297998676516</v>
      </c>
      <c r="D228" s="9">
        <v>1.8766278243356116</v>
      </c>
      <c r="E228" s="9">
        <v>1.8600172421952321</v>
      </c>
      <c r="F228" s="9">
        <v>1.8409962667591766</v>
      </c>
      <c r="G228" s="9">
        <v>1.8101531072090578</v>
      </c>
      <c r="H228" s="9">
        <v>1.7914784612947798</v>
      </c>
    </row>
    <row r="229" spans="1:8">
      <c r="A229" s="404"/>
      <c r="B229" s="295">
        <v>15</v>
      </c>
      <c r="C229" s="9">
        <v>2.1117305935221617</v>
      </c>
      <c r="D229" s="9">
        <v>2.0585128926142446</v>
      </c>
      <c r="E229" s="9">
        <v>2.0497671404241209</v>
      </c>
      <c r="F229" s="9">
        <v>2.0345124288900762</v>
      </c>
      <c r="G229" s="9">
        <v>2.0005376939256401</v>
      </c>
      <c r="H229" s="9">
        <v>1.9928507426778841</v>
      </c>
    </row>
    <row r="230" spans="1:8">
      <c r="A230" s="404"/>
      <c r="B230" s="295">
        <v>16</v>
      </c>
      <c r="C230" s="9">
        <v>2.3578041114820656</v>
      </c>
      <c r="D230" s="9">
        <v>2.2926389912388441</v>
      </c>
      <c r="E230" s="9">
        <v>2.2903579978041364</v>
      </c>
      <c r="F230" s="9">
        <v>2.2815561249843359</v>
      </c>
      <c r="G230" s="9">
        <v>2.2446735594434704</v>
      </c>
      <c r="H230" s="9">
        <v>2.2525514706028154</v>
      </c>
    </row>
    <row r="231" spans="1:8">
      <c r="A231" s="404"/>
      <c r="B231" s="295">
        <v>17</v>
      </c>
      <c r="C231" s="9">
        <v>2.6615323631009686</v>
      </c>
      <c r="D231" s="9">
        <v>2.5846141750854987</v>
      </c>
      <c r="E231" s="9">
        <v>2.5930893230016889</v>
      </c>
      <c r="F231" s="9">
        <v>2.5846390203675877</v>
      </c>
      <c r="G231" s="9">
        <v>2.5431709783396479</v>
      </c>
      <c r="H231" s="9">
        <v>2.5647047575896766</v>
      </c>
    </row>
    <row r="232" spans="1:8">
      <c r="A232" s="404"/>
      <c r="B232" s="295">
        <v>18</v>
      </c>
      <c r="C232" s="9">
        <v>3.019852836100184</v>
      </c>
      <c r="D232" s="9">
        <v>2.9295687167609117</v>
      </c>
      <c r="E232" s="9">
        <v>2.9425922954441659</v>
      </c>
      <c r="F232" s="9">
        <v>2.9413014432678191</v>
      </c>
      <c r="G232" s="9">
        <v>2.8978858605426496</v>
      </c>
      <c r="H232" s="9">
        <v>2.9379200920606419</v>
      </c>
    </row>
    <row r="233" spans="1:8">
      <c r="A233" s="404"/>
      <c r="B233" s="295">
        <v>19</v>
      </c>
      <c r="C233" s="9">
        <v>3.4030920325459344</v>
      </c>
      <c r="D233" s="9">
        <v>3.2995688310137763</v>
      </c>
      <c r="E233" s="9">
        <v>3.3259942849112289</v>
      </c>
      <c r="F233" s="9">
        <v>3.3374140504138246</v>
      </c>
      <c r="G233" s="9">
        <v>3.2918487554626634</v>
      </c>
      <c r="H233" s="9">
        <v>3.3556434160906528</v>
      </c>
    </row>
    <row r="234" spans="1:8">
      <c r="A234" s="404"/>
      <c r="B234" s="295">
        <v>20</v>
      </c>
      <c r="C234" s="9">
        <v>3.7833659752773601</v>
      </c>
      <c r="D234" s="9">
        <v>3.6602018210353955</v>
      </c>
      <c r="E234" s="9">
        <v>3.7031170632861614</v>
      </c>
      <c r="F234" s="9">
        <v>3.7259073711129513</v>
      </c>
      <c r="G234" s="9">
        <v>3.6761028308492549</v>
      </c>
      <c r="H234" s="9">
        <v>3.7699787371287958</v>
      </c>
    </row>
    <row r="235" spans="1:8">
      <c r="A235" s="404"/>
      <c r="B235" s="295">
        <v>21</v>
      </c>
      <c r="C235" s="9">
        <v>4.0920040920040917</v>
      </c>
      <c r="D235" s="9">
        <v>3.9603496356009651</v>
      </c>
      <c r="E235" s="9">
        <v>4.0173590999746054</v>
      </c>
      <c r="F235" s="9">
        <v>4.0449401101214315</v>
      </c>
      <c r="G235" s="9">
        <v>3.9878621097639235</v>
      </c>
      <c r="H235" s="9">
        <v>4.1081407642350101</v>
      </c>
    </row>
    <row r="236" spans="1:8">
      <c r="A236" s="404"/>
      <c r="B236" s="295">
        <v>22</v>
      </c>
      <c r="C236" s="9">
        <v>4.2935680483866445</v>
      </c>
      <c r="D236" s="9">
        <v>4.1517507254972568</v>
      </c>
      <c r="E236" s="9">
        <v>4.2092710227406904</v>
      </c>
      <c r="F236" s="9">
        <v>4.2402501574991156</v>
      </c>
      <c r="G236" s="9">
        <v>4.1852384309241382</v>
      </c>
      <c r="H236" s="9">
        <v>4.308991961868081</v>
      </c>
    </row>
    <row r="237" spans="1:8">
      <c r="A237" s="404"/>
      <c r="B237" s="295">
        <v>23</v>
      </c>
      <c r="C237" s="9">
        <v>4.3632853350494738</v>
      </c>
      <c r="D237" s="9">
        <v>4.2196477347650001</v>
      </c>
      <c r="E237" s="9">
        <v>4.2766589593259834</v>
      </c>
      <c r="F237" s="9">
        <v>4.3050192475445606</v>
      </c>
      <c r="G237" s="9">
        <v>4.2438685968237753</v>
      </c>
      <c r="H237" s="9">
        <v>4.3341367797643349</v>
      </c>
    </row>
    <row r="238" spans="1:8">
      <c r="A238" s="404"/>
      <c r="B238" s="295">
        <v>24</v>
      </c>
      <c r="C238" s="9">
        <v>4.3312433471368079</v>
      </c>
      <c r="D238" s="9">
        <v>4.1831084263003202</v>
      </c>
      <c r="E238" s="9">
        <v>4.2417009854041172</v>
      </c>
      <c r="F238" s="9">
        <v>4.2711897786859012</v>
      </c>
      <c r="G238" s="9">
        <v>4.2127910191228262</v>
      </c>
      <c r="H238" s="9">
        <v>4.2237783510884119</v>
      </c>
    </row>
    <row r="239" spans="1:8">
      <c r="A239" s="404"/>
      <c r="B239" s="295">
        <v>25</v>
      </c>
      <c r="C239" s="9">
        <v>4.2422635506230826</v>
      </c>
      <c r="D239" s="9">
        <v>4.1025019198900612</v>
      </c>
      <c r="E239" s="9">
        <v>4.1587257926138408</v>
      </c>
      <c r="F239" s="9">
        <v>4.1898192501756411</v>
      </c>
      <c r="G239" s="9">
        <v>4.1309094523283729</v>
      </c>
      <c r="H239" s="9">
        <v>4.0512185447708093</v>
      </c>
    </row>
    <row r="240" spans="1:8">
      <c r="A240" s="404"/>
      <c r="B240" s="295">
        <v>26</v>
      </c>
      <c r="C240" s="9">
        <v>4.1512053648514833</v>
      </c>
      <c r="D240" s="9">
        <v>4.0108159959961354</v>
      </c>
      <c r="E240" s="9">
        <v>4.0751180086256662</v>
      </c>
      <c r="F240" s="9">
        <v>4.1028690352311585</v>
      </c>
      <c r="G240" s="9">
        <v>4.0483611550722154</v>
      </c>
      <c r="H240" s="9">
        <v>3.8929866780994464</v>
      </c>
    </row>
    <row r="241" spans="1:8">
      <c r="A241" s="404"/>
      <c r="B241" s="295">
        <v>27</v>
      </c>
      <c r="C241" s="9">
        <v>4.1142575684592897</v>
      </c>
      <c r="D241" s="9">
        <v>3.9760724370692295</v>
      </c>
      <c r="E241" s="9">
        <v>4.0364683704861273</v>
      </c>
      <c r="F241" s="9">
        <v>4.0696917585316221</v>
      </c>
      <c r="G241" s="9">
        <v>4.014136160565446</v>
      </c>
      <c r="H241" s="9">
        <v>3.8318157611025239</v>
      </c>
    </row>
    <row r="242" spans="1:8">
      <c r="A242" s="404"/>
      <c r="B242" s="295">
        <v>28</v>
      </c>
      <c r="C242" s="9">
        <v>4.1414653040550613</v>
      </c>
      <c r="D242" s="9">
        <v>4.0056283463991376</v>
      </c>
      <c r="E242" s="9">
        <v>4.0654632799756207</v>
      </c>
      <c r="F242" s="9">
        <v>4.0998091468155788</v>
      </c>
      <c r="G242" s="9">
        <v>4.044915851921508</v>
      </c>
      <c r="H242" s="9">
        <v>3.8692905293068529</v>
      </c>
    </row>
    <row r="243" spans="1:8">
      <c r="A243" s="404"/>
      <c r="B243" s="295">
        <v>29</v>
      </c>
      <c r="C243" s="9">
        <v>4.2462029884669139</v>
      </c>
      <c r="D243" s="9">
        <v>4.1113754317132107</v>
      </c>
      <c r="E243" s="9">
        <v>4.1703814499075298</v>
      </c>
      <c r="F243" s="9">
        <v>4.1945398662086415</v>
      </c>
      <c r="G243" s="9">
        <v>4.1445233084852156</v>
      </c>
      <c r="H243" s="9">
        <v>3.9775141581392757</v>
      </c>
    </row>
    <row r="244" spans="1:8">
      <c r="A244" s="404"/>
      <c r="B244" s="295">
        <v>30</v>
      </c>
      <c r="C244" s="9">
        <v>4.4017511659873358</v>
      </c>
      <c r="D244" s="9">
        <v>4.2691997768548946</v>
      </c>
      <c r="E244" s="9">
        <v>4.3186725764291385</v>
      </c>
      <c r="F244" s="9">
        <v>4.3474868181970194</v>
      </c>
      <c r="G244" s="9">
        <v>4.2911251067307905</v>
      </c>
      <c r="H244" s="9">
        <v>4.1395963893520369</v>
      </c>
    </row>
    <row r="245" spans="1:8">
      <c r="A245" s="404"/>
      <c r="B245" s="295">
        <v>31</v>
      </c>
      <c r="C245" s="9">
        <v>4.5772597143724321</v>
      </c>
      <c r="D245" s="9">
        <v>4.4498073754555048</v>
      </c>
      <c r="E245" s="9">
        <v>4.4989455596344605</v>
      </c>
      <c r="F245" s="9">
        <v>4.5163804763978996</v>
      </c>
      <c r="G245" s="9">
        <v>4.4620426406293356</v>
      </c>
      <c r="H245" s="9">
        <v>4.3233704643211652</v>
      </c>
    </row>
    <row r="246" spans="1:8">
      <c r="A246" s="404"/>
      <c r="B246" s="295">
        <v>32</v>
      </c>
      <c r="C246" s="9">
        <v>4.7540699321995197</v>
      </c>
      <c r="D246" s="9">
        <v>4.6189567614325391</v>
      </c>
      <c r="E246" s="9">
        <v>4.6638322636964702</v>
      </c>
      <c r="F246" s="9">
        <v>4.6796341376946895</v>
      </c>
      <c r="G246" s="9">
        <v>4.6190979264183092</v>
      </c>
      <c r="H246" s="9">
        <v>4.4957913348344487</v>
      </c>
    </row>
    <row r="247" spans="1:8">
      <c r="A247" s="404"/>
      <c r="B247" s="295">
        <v>33</v>
      </c>
      <c r="C247" s="9">
        <v>4.8916414077445172</v>
      </c>
      <c r="D247" s="9">
        <v>4.7546287206890376</v>
      </c>
      <c r="E247" s="9">
        <v>4.7985045356299389</v>
      </c>
      <c r="F247" s="9">
        <v>4.8183144867394434</v>
      </c>
      <c r="G247" s="9">
        <v>4.7538416287074794</v>
      </c>
      <c r="H247" s="9">
        <v>4.6464104924962015</v>
      </c>
    </row>
    <row r="248" spans="1:8">
      <c r="A248" s="404"/>
      <c r="B248" s="295">
        <v>34</v>
      </c>
      <c r="C248" s="9">
        <v>4.9987979297174459</v>
      </c>
      <c r="D248" s="9">
        <v>4.8653436810026838</v>
      </c>
      <c r="E248" s="9">
        <v>4.9051667756703727</v>
      </c>
      <c r="F248" s="9">
        <v>4.9155559670556741</v>
      </c>
      <c r="G248" s="9">
        <v>4.861736651818215</v>
      </c>
      <c r="H248" s="9">
        <v>4.7739578994585239</v>
      </c>
    </row>
    <row r="249" spans="1:8">
      <c r="A249" s="404"/>
      <c r="B249" s="295">
        <v>35</v>
      </c>
      <c r="C249" s="9">
        <v>5.1005171621025891</v>
      </c>
      <c r="D249" s="9">
        <v>4.9613481685576852</v>
      </c>
      <c r="E249" s="9">
        <v>4.9935581323026348</v>
      </c>
      <c r="F249" s="9">
        <v>5.0078328755115233</v>
      </c>
      <c r="G249" s="9">
        <v>4.9509785188676441</v>
      </c>
      <c r="H249" s="9">
        <v>4.8903606019287915</v>
      </c>
    </row>
    <row r="250" spans="1:8">
      <c r="A250" s="404"/>
      <c r="B250" s="295">
        <v>36</v>
      </c>
      <c r="C250" s="9">
        <v>5.2039458271233254</v>
      </c>
      <c r="D250" s="9">
        <v>5.0696842447605288</v>
      </c>
      <c r="E250" s="9">
        <v>5.1028882532066078</v>
      </c>
      <c r="F250" s="9">
        <v>5.1076184161006468</v>
      </c>
      <c r="G250" s="9">
        <v>5.0433632928959495</v>
      </c>
      <c r="H250" s="9">
        <v>5.0227177437986112</v>
      </c>
    </row>
    <row r="251" spans="1:8">
      <c r="A251" s="404"/>
      <c r="B251" s="295">
        <v>37</v>
      </c>
      <c r="C251" s="9">
        <v>5.3656180435969594</v>
      </c>
      <c r="D251" s="9">
        <v>5.2205401599356227</v>
      </c>
      <c r="E251" s="9">
        <v>5.2553928044511737</v>
      </c>
      <c r="F251" s="9">
        <v>5.2577947971096082</v>
      </c>
      <c r="G251" s="9">
        <v>5.188700564971751</v>
      </c>
      <c r="H251" s="9">
        <v>5.2052087376927689</v>
      </c>
    </row>
    <row r="252" spans="1:8">
      <c r="A252" s="404"/>
      <c r="B252" s="295">
        <v>38</v>
      </c>
      <c r="C252" s="9">
        <v>5.5840952606922736</v>
      </c>
      <c r="D252" s="9">
        <v>5.4460402307680083</v>
      </c>
      <c r="E252" s="9">
        <v>5.4661433772450243</v>
      </c>
      <c r="F252" s="9">
        <v>5.465623465224728</v>
      </c>
      <c r="G252" s="9">
        <v>5.3980979919075462</v>
      </c>
      <c r="H252" s="9">
        <v>5.4562927269166481</v>
      </c>
    </row>
    <row r="253" spans="1:8">
      <c r="A253" s="404"/>
      <c r="B253" s="295">
        <v>39</v>
      </c>
      <c r="C253" s="9">
        <v>5.878210463214625</v>
      </c>
      <c r="D253" s="9">
        <v>5.7358288829612469</v>
      </c>
      <c r="E253" s="9">
        <v>5.7587315832772425</v>
      </c>
      <c r="F253" s="9">
        <v>5.7489195202414152</v>
      </c>
      <c r="G253" s="9">
        <v>5.6812885437159935</v>
      </c>
      <c r="H253" s="9">
        <v>5.7716234819920613</v>
      </c>
    </row>
    <row r="254" spans="1:8">
      <c r="A254" s="404"/>
      <c r="B254" s="295">
        <v>40</v>
      </c>
      <c r="C254" s="9">
        <v>6.2302989926655199</v>
      </c>
      <c r="D254" s="9">
        <v>6.0864201157359812</v>
      </c>
      <c r="E254" s="9">
        <v>6.0997186041417431</v>
      </c>
      <c r="F254" s="9">
        <v>6.0903965764425605</v>
      </c>
      <c r="G254" s="9">
        <v>6.0183440779184574</v>
      </c>
      <c r="H254" s="9">
        <v>6.1625508806117049</v>
      </c>
    </row>
    <row r="255" spans="1:8">
      <c r="A255" s="404"/>
      <c r="B255" s="295">
        <v>41</v>
      </c>
      <c r="C255" s="9">
        <v>6.6312389015208604</v>
      </c>
      <c r="D255" s="9">
        <v>6.4777731409102515</v>
      </c>
      <c r="E255" s="9">
        <v>6.4843847243543777</v>
      </c>
      <c r="F255" s="9">
        <v>6.473225672971731</v>
      </c>
      <c r="G255" s="9">
        <v>6.3980501180592571</v>
      </c>
      <c r="H255" s="9">
        <v>6.5999729338649393</v>
      </c>
    </row>
    <row r="256" spans="1:8">
      <c r="A256" s="404"/>
      <c r="B256" s="295">
        <v>42</v>
      </c>
      <c r="C256" s="9">
        <v>7.0279654458365588</v>
      </c>
      <c r="D256" s="9">
        <v>6.8700319674897905</v>
      </c>
      <c r="E256" s="9">
        <v>6.8770862275976095</v>
      </c>
      <c r="F256" s="9">
        <v>6.8691510495201165</v>
      </c>
      <c r="G256" s="9">
        <v>6.7879259623859607</v>
      </c>
      <c r="H256" s="9">
        <v>7.0469688155165038</v>
      </c>
    </row>
    <row r="257" spans="1:8">
      <c r="A257" s="404"/>
      <c r="B257" s="295">
        <v>43</v>
      </c>
      <c r="C257" s="9">
        <v>7.4116432608259757</v>
      </c>
      <c r="D257" s="9">
        <v>7.2559738503156002</v>
      </c>
      <c r="E257" s="9">
        <v>7.2698601487381325</v>
      </c>
      <c r="F257" s="9">
        <v>7.249412810258363</v>
      </c>
      <c r="G257" s="9">
        <v>7.1675923295883761</v>
      </c>
      <c r="H257" s="9">
        <v>7.4851855702255961</v>
      </c>
    </row>
    <row r="258" spans="1:8">
      <c r="A258" s="404"/>
      <c r="B258" s="295">
        <v>44</v>
      </c>
      <c r="C258" s="9">
        <v>7.7902953820332348</v>
      </c>
      <c r="D258" s="9">
        <v>7.6260818002356876</v>
      </c>
      <c r="E258" s="9">
        <v>7.6408651109846328</v>
      </c>
      <c r="F258" s="9">
        <v>7.613699258879274</v>
      </c>
      <c r="G258" s="9">
        <v>7.5294540183811032</v>
      </c>
      <c r="H258" s="9">
        <v>7.9188349917334193</v>
      </c>
    </row>
    <row r="259" spans="1:8">
      <c r="A259" s="404"/>
      <c r="B259" s="295">
        <v>45</v>
      </c>
      <c r="C259" s="9">
        <v>8.1680181586519396</v>
      </c>
      <c r="D259" s="9">
        <v>8.0041621643254501</v>
      </c>
      <c r="E259" s="9">
        <v>8.007400779508334</v>
      </c>
      <c r="F259" s="9">
        <v>7.9796411318150442</v>
      </c>
      <c r="G259" s="9">
        <v>7.8992066686221394</v>
      </c>
      <c r="H259" s="9">
        <v>8.3678756476683933</v>
      </c>
    </row>
    <row r="260" spans="1:8">
      <c r="A260" s="404"/>
      <c r="B260" s="295">
        <v>46</v>
      </c>
      <c r="C260" s="9">
        <v>8.5800701842561082</v>
      </c>
      <c r="D260" s="9">
        <v>8.3973374295954937</v>
      </c>
      <c r="E260" s="9">
        <v>8.4123337755201089</v>
      </c>
      <c r="F260" s="9">
        <v>8.3851336332768707</v>
      </c>
      <c r="G260" s="9">
        <v>8.2995995552228603</v>
      </c>
      <c r="H260" s="9">
        <v>8.8483378356028446</v>
      </c>
    </row>
    <row r="261" spans="1:8">
      <c r="A261" s="404"/>
      <c r="B261" s="295">
        <v>47</v>
      </c>
      <c r="C261" s="9">
        <v>9.0471827759963332</v>
      </c>
      <c r="D261" s="9">
        <v>8.8623341717440454</v>
      </c>
      <c r="E261" s="9">
        <v>8.8691030817544956</v>
      </c>
      <c r="F261" s="9">
        <v>8.8501365963781513</v>
      </c>
      <c r="G261" s="9">
        <v>8.7593504127746993</v>
      </c>
      <c r="H261" s="9">
        <v>9.4018789067377693</v>
      </c>
    </row>
    <row r="262" spans="1:8">
      <c r="A262" s="404"/>
      <c r="B262" s="295">
        <v>48</v>
      </c>
      <c r="C262" s="9">
        <v>9.6091469348037606</v>
      </c>
      <c r="D262" s="9">
        <v>9.4280387554216052</v>
      </c>
      <c r="E262" s="9">
        <v>9.4414136404548046</v>
      </c>
      <c r="F262" s="9">
        <v>9.4089306287749181</v>
      </c>
      <c r="G262" s="9">
        <v>9.318646396265919</v>
      </c>
      <c r="H262" s="9">
        <v>10.048990789731532</v>
      </c>
    </row>
    <row r="263" spans="1:8">
      <c r="A263" s="404"/>
      <c r="B263" s="295">
        <v>49</v>
      </c>
      <c r="C263" s="9">
        <v>10.293106412239984</v>
      </c>
      <c r="D263" s="9">
        <v>10.101217484139855</v>
      </c>
      <c r="E263" s="9">
        <v>10.108218548678796</v>
      </c>
      <c r="F263" s="9">
        <v>10.058847044167823</v>
      </c>
      <c r="G263" s="9">
        <v>9.9671296787191181</v>
      </c>
      <c r="H263" s="9">
        <v>10.802210684977391</v>
      </c>
    </row>
    <row r="264" spans="1:8">
      <c r="A264" s="404"/>
      <c r="B264" s="295">
        <v>50</v>
      </c>
      <c r="C264" s="9">
        <v>11.073592778289392</v>
      </c>
      <c r="D264" s="9">
        <v>10.866843062315574</v>
      </c>
      <c r="E264" s="9">
        <v>10.874085163007321</v>
      </c>
      <c r="F264" s="9">
        <v>10.832862985077583</v>
      </c>
      <c r="G264" s="9">
        <v>10.736080765463722</v>
      </c>
      <c r="H264" s="9">
        <v>11.685023307416323</v>
      </c>
    </row>
    <row r="265" spans="1:8">
      <c r="A265" s="404"/>
      <c r="B265" s="295">
        <v>51</v>
      </c>
      <c r="C265" s="9">
        <v>11.934718527572077</v>
      </c>
      <c r="D265" s="9">
        <v>11.714651385349768</v>
      </c>
      <c r="E265" s="9">
        <v>11.719137948157712</v>
      </c>
      <c r="F265" s="9">
        <v>11.675939976395213</v>
      </c>
      <c r="G265" s="9">
        <v>11.56452341514832</v>
      </c>
      <c r="H265" s="9">
        <v>12.636240432151789</v>
      </c>
    </row>
    <row r="266" spans="1:8">
      <c r="A266" s="404"/>
      <c r="B266" s="295">
        <v>52</v>
      </c>
      <c r="C266" s="9">
        <v>12.831802742483331</v>
      </c>
      <c r="D266" s="9">
        <v>12.624358444212014</v>
      </c>
      <c r="E266" s="9">
        <v>12.607154969768558</v>
      </c>
      <c r="F266" s="9">
        <v>12.560873215785055</v>
      </c>
      <c r="G266" s="9">
        <v>12.445470875032075</v>
      </c>
      <c r="H266" s="9">
        <v>13.664735411214858</v>
      </c>
    </row>
    <row r="267" spans="1:8">
      <c r="A267" s="404"/>
      <c r="B267" s="295">
        <v>53</v>
      </c>
      <c r="C267" s="9">
        <v>13.786377056094475</v>
      </c>
      <c r="D267" s="9">
        <v>13.545979655472067</v>
      </c>
      <c r="E267" s="9">
        <v>13.556559745166309</v>
      </c>
      <c r="F267" s="9">
        <v>13.489603742890052</v>
      </c>
      <c r="G267" s="9">
        <v>13.369257528733673</v>
      </c>
      <c r="H267" s="9">
        <v>14.741641337386017</v>
      </c>
    </row>
    <row r="268" spans="1:8">
      <c r="A268" s="404"/>
      <c r="B268" s="295">
        <v>54</v>
      </c>
      <c r="C268" s="9">
        <v>14.769417643242647</v>
      </c>
      <c r="D268" s="9">
        <v>14.526157804459693</v>
      </c>
      <c r="E268" s="9">
        <v>14.51665260014283</v>
      </c>
      <c r="F268" s="9">
        <v>14.454565986599412</v>
      </c>
      <c r="G268" s="9">
        <v>14.338301852634119</v>
      </c>
      <c r="H268" s="9">
        <v>15.87466638937992</v>
      </c>
    </row>
    <row r="269" spans="1:8">
      <c r="A269" s="404"/>
      <c r="B269" s="295">
        <v>55</v>
      </c>
      <c r="C269" s="9">
        <v>15.793584217986178</v>
      </c>
      <c r="D269" s="9">
        <v>15.535453421732782</v>
      </c>
      <c r="E269" s="9">
        <v>15.536203442495605</v>
      </c>
      <c r="F269" s="9">
        <v>15.47971259509721</v>
      </c>
      <c r="G269" s="9">
        <v>15.343375031912178</v>
      </c>
      <c r="H269" s="9">
        <v>17.092128043614395</v>
      </c>
    </row>
    <row r="270" spans="1:8">
      <c r="A270" s="404"/>
      <c r="B270" s="295">
        <v>56</v>
      </c>
      <c r="C270" s="9">
        <v>16.934032870167378</v>
      </c>
      <c r="D270" s="9">
        <v>16.677470681831572</v>
      </c>
      <c r="E270" s="9">
        <v>16.673578241409391</v>
      </c>
      <c r="F270" s="9">
        <v>16.596819405511923</v>
      </c>
      <c r="G270" s="9">
        <v>16.463340820745962</v>
      </c>
      <c r="H270" s="9">
        <v>18.409454346893401</v>
      </c>
    </row>
    <row r="271" spans="1:8">
      <c r="A271" s="404"/>
      <c r="B271" s="295">
        <v>57</v>
      </c>
      <c r="C271" s="9">
        <v>18.225964115662347</v>
      </c>
      <c r="D271" s="9">
        <v>17.948006291053751</v>
      </c>
      <c r="E271" s="9">
        <v>17.928735528627417</v>
      </c>
      <c r="F271" s="9">
        <v>17.871199090405529</v>
      </c>
      <c r="G271" s="9">
        <v>17.712385937610524</v>
      </c>
      <c r="H271" s="9">
        <v>19.91660265554702</v>
      </c>
    </row>
    <row r="272" spans="1:8">
      <c r="A272" s="404"/>
      <c r="B272" s="295">
        <v>58</v>
      </c>
      <c r="C272" s="9">
        <v>19.697144078525508</v>
      </c>
      <c r="D272" s="9">
        <v>19.415600096595025</v>
      </c>
      <c r="E272" s="9">
        <v>19.38630999213218</v>
      </c>
      <c r="F272" s="9">
        <v>19.311528676087423</v>
      </c>
      <c r="G272" s="9">
        <v>19.16552586155586</v>
      </c>
      <c r="H272" s="9">
        <v>21.643020198225791</v>
      </c>
    </row>
    <row r="273" spans="1:8">
      <c r="A273" s="404"/>
      <c r="B273" s="295">
        <v>59</v>
      </c>
      <c r="C273" s="9">
        <v>21.410925061762285</v>
      </c>
      <c r="D273" s="9">
        <v>21.084843797289572</v>
      </c>
      <c r="E273" s="9">
        <v>21.061638200546284</v>
      </c>
      <c r="F273" s="9">
        <v>20.975421438682282</v>
      </c>
      <c r="G273" s="9">
        <v>20.807871893704366</v>
      </c>
      <c r="H273" s="9">
        <v>23.623964929371652</v>
      </c>
    </row>
    <row r="274" spans="1:8">
      <c r="A274" s="404"/>
      <c r="B274" s="295">
        <v>60</v>
      </c>
      <c r="C274" s="9">
        <v>23.343238695356412</v>
      </c>
      <c r="D274" s="9">
        <v>22.988505747126435</v>
      </c>
      <c r="E274" s="9">
        <v>22.965156314557223</v>
      </c>
      <c r="F274" s="9">
        <v>22.847899711873836</v>
      </c>
      <c r="G274" s="9">
        <v>22.666249361688106</v>
      </c>
      <c r="H274" s="9">
        <v>25.854316546762593</v>
      </c>
    </row>
    <row r="275" spans="1:8">
      <c r="A275" s="404"/>
      <c r="B275" s="295">
        <v>61</v>
      </c>
      <c r="C275" s="9">
        <v>25.446528660040357</v>
      </c>
      <c r="D275" s="9">
        <v>25.099220931941794</v>
      </c>
      <c r="E275" s="9">
        <v>25.024790408365632</v>
      </c>
      <c r="F275" s="9">
        <v>24.939065314917517</v>
      </c>
      <c r="G275" s="9">
        <v>24.721237790647418</v>
      </c>
      <c r="H275" s="9">
        <v>28.321039453204303</v>
      </c>
    </row>
    <row r="276" spans="1:8">
      <c r="A276" s="404"/>
      <c r="B276" s="295">
        <v>62</v>
      </c>
      <c r="C276" s="9">
        <v>27.737083699580037</v>
      </c>
      <c r="D276" s="9">
        <v>27.327760161429808</v>
      </c>
      <c r="E276" s="9">
        <v>27.275646474377137</v>
      </c>
      <c r="F276" s="9">
        <v>27.13674025468498</v>
      </c>
      <c r="G276" s="9">
        <v>26.911692603824289</v>
      </c>
      <c r="H276" s="9">
        <v>30.893527663587996</v>
      </c>
    </row>
    <row r="277" spans="1:8">
      <c r="A277" s="404"/>
      <c r="B277" s="295">
        <v>63</v>
      </c>
      <c r="C277" s="9">
        <v>30.123194040846396</v>
      </c>
      <c r="D277" s="9">
        <v>29.682434201252544</v>
      </c>
      <c r="E277" s="9">
        <v>29.621416125455411</v>
      </c>
      <c r="F277" s="9">
        <v>29.467865623418582</v>
      </c>
      <c r="G277" s="9">
        <v>29.261770604526788</v>
      </c>
      <c r="H277" s="9">
        <v>33.616909642843758</v>
      </c>
    </row>
    <row r="278" spans="1:8">
      <c r="A278" s="404"/>
      <c r="B278" s="295">
        <v>64</v>
      </c>
      <c r="C278" s="9">
        <v>32.692970365265332</v>
      </c>
      <c r="D278" s="9">
        <v>32.187797398752252</v>
      </c>
      <c r="E278" s="9">
        <v>32.15340460047419</v>
      </c>
      <c r="F278" s="9">
        <v>31.98625654450262</v>
      </c>
      <c r="G278" s="9">
        <v>31.723056510463781</v>
      </c>
      <c r="H278" s="9">
        <v>36.477167190309643</v>
      </c>
    </row>
    <row r="279" spans="1:8">
      <c r="A279" s="404"/>
      <c r="B279" s="295">
        <v>65</v>
      </c>
      <c r="C279" s="9">
        <v>35.413467355391127</v>
      </c>
      <c r="D279" s="9">
        <v>34.943657257614639</v>
      </c>
      <c r="E279" s="9">
        <v>34.86182280033286</v>
      </c>
      <c r="F279" s="9">
        <v>34.673615747421017</v>
      </c>
      <c r="G279" s="9">
        <v>34.433103214603364</v>
      </c>
      <c r="H279" s="9">
        <v>39.582073366561694</v>
      </c>
    </row>
    <row r="280" spans="1:8">
      <c r="A280" s="404"/>
      <c r="B280" s="295">
        <v>66</v>
      </c>
      <c r="C280" s="9">
        <v>38.480684986061334</v>
      </c>
      <c r="D280" s="9">
        <v>37.957545573231471</v>
      </c>
      <c r="E280" s="9">
        <v>37.860006024235965</v>
      </c>
      <c r="F280" s="9">
        <v>37.702383118064397</v>
      </c>
      <c r="G280" s="9">
        <v>37.391537704624746</v>
      </c>
      <c r="H280" s="9">
        <v>43.012648186505665</v>
      </c>
    </row>
    <row r="281" spans="1:8">
      <c r="A281" s="404"/>
      <c r="B281" s="295">
        <v>67</v>
      </c>
      <c r="C281" s="9">
        <v>41.990589198036005</v>
      </c>
      <c r="D281" s="9">
        <v>41.412595033602322</v>
      </c>
      <c r="E281" s="9">
        <v>41.357076291464118</v>
      </c>
      <c r="F281" s="9">
        <v>41.132594684625971</v>
      </c>
      <c r="G281" s="9">
        <v>40.839531908845409</v>
      </c>
      <c r="H281" s="9">
        <v>46.885215279723546</v>
      </c>
    </row>
    <row r="282" spans="1:8">
      <c r="A282" s="404"/>
      <c r="B282" s="295">
        <v>68</v>
      </c>
      <c r="C282" s="9">
        <v>46.080207685443092</v>
      </c>
      <c r="D282" s="9">
        <v>45.433869370936243</v>
      </c>
      <c r="E282" s="9">
        <v>45.364516916732235</v>
      </c>
      <c r="F282" s="9">
        <v>45.08822754806426</v>
      </c>
      <c r="G282" s="9">
        <v>44.770845951948317</v>
      </c>
      <c r="H282" s="9">
        <v>51.346989447548111</v>
      </c>
    </row>
    <row r="283" spans="1:8">
      <c r="A283" s="404"/>
      <c r="B283" s="295">
        <v>69</v>
      </c>
      <c r="C283" s="9">
        <v>50.815521403756698</v>
      </c>
      <c r="D283" s="9">
        <v>50.127877237851663</v>
      </c>
      <c r="E283" s="9">
        <v>50.015454213380544</v>
      </c>
      <c r="F283" s="9">
        <v>49.75209437510685</v>
      </c>
      <c r="G283" s="9">
        <v>49.391592920353986</v>
      </c>
      <c r="H283" s="9">
        <v>56.547619047619058</v>
      </c>
    </row>
    <row r="284" spans="1:8">
      <c r="A284" s="404"/>
      <c r="B284" s="295">
        <v>70</v>
      </c>
      <c r="C284" s="9">
        <v>56.30546181727285</v>
      </c>
      <c r="D284" s="9">
        <v>55.538279743765159</v>
      </c>
      <c r="E284" s="9">
        <v>55.427251732101617</v>
      </c>
      <c r="F284" s="9">
        <v>55.161778225926035</v>
      </c>
      <c r="G284" s="9">
        <v>54.730258014073506</v>
      </c>
      <c r="H284" s="9">
        <v>62.415832308683179</v>
      </c>
    </row>
    <row r="285" spans="1:8">
      <c r="A285" s="404"/>
      <c r="B285" s="295">
        <v>71</v>
      </c>
      <c r="C285" s="9">
        <v>62.53277399056109</v>
      </c>
      <c r="D285" s="9">
        <v>61.676348547717843</v>
      </c>
      <c r="E285" s="9">
        <v>61.59838906678111</v>
      </c>
      <c r="F285" s="9">
        <v>61.254377586755808</v>
      </c>
      <c r="G285" s="9">
        <v>60.871207352385753</v>
      </c>
      <c r="H285" s="9">
        <v>69.098011591047353</v>
      </c>
    </row>
    <row r="286" spans="1:8">
      <c r="A286" s="404"/>
      <c r="B286" s="295">
        <v>72</v>
      </c>
      <c r="C286" s="9">
        <v>69.495630199010208</v>
      </c>
      <c r="D286" s="9">
        <v>68.619892058596761</v>
      </c>
      <c r="E286" s="9">
        <v>68.45428105270625</v>
      </c>
      <c r="F286" s="9">
        <v>68.143340857787805</v>
      </c>
      <c r="G286" s="9">
        <v>67.675565380037412</v>
      </c>
      <c r="H286" s="9">
        <v>76.450742240215916</v>
      </c>
    </row>
    <row r="287" spans="1:8">
      <c r="A287" s="404"/>
      <c r="B287" s="295">
        <v>73</v>
      </c>
      <c r="C287" s="9">
        <v>77.231385848620306</v>
      </c>
      <c r="D287" s="9">
        <v>76.294896030245738</v>
      </c>
      <c r="E287" s="9">
        <v>76.119346686281162</v>
      </c>
      <c r="F287" s="9">
        <v>75.736753702855395</v>
      </c>
      <c r="G287" s="9">
        <v>75.221071008387412</v>
      </c>
      <c r="H287" s="9">
        <v>84.560849281857259</v>
      </c>
    </row>
    <row r="288" spans="1:8">
      <c r="A288" s="404"/>
      <c r="B288" s="295">
        <v>74</v>
      </c>
      <c r="C288" s="9">
        <v>85.799714000953315</v>
      </c>
      <c r="D288" s="9">
        <v>84.707457939231602</v>
      </c>
      <c r="E288" s="9">
        <v>84.584461399622597</v>
      </c>
      <c r="F288" s="9">
        <v>84.13471375373409</v>
      </c>
      <c r="G288" s="9">
        <v>83.636965882742629</v>
      </c>
      <c r="H288" s="9">
        <v>93.407728869601144</v>
      </c>
    </row>
    <row r="289" spans="1:8">
      <c r="A289" s="404"/>
      <c r="B289" s="295">
        <v>75</v>
      </c>
      <c r="C289" s="9">
        <v>95.199758478414012</v>
      </c>
      <c r="D289" s="9">
        <v>94.01709401709401</v>
      </c>
      <c r="E289" s="9">
        <v>93.920373848902713</v>
      </c>
      <c r="F289" s="9">
        <v>93.390804597701162</v>
      </c>
      <c r="G289" s="9">
        <v>92.87121619201146</v>
      </c>
      <c r="H289" s="9">
        <v>103.18940807134082</v>
      </c>
    </row>
    <row r="290" spans="1:8">
      <c r="A290" s="404"/>
      <c r="B290" s="295">
        <v>76</v>
      </c>
      <c r="C290" s="9">
        <v>105.69153641993513</v>
      </c>
      <c r="D290" s="9">
        <v>104.36622855869905</v>
      </c>
      <c r="E290" s="9">
        <v>104.25744133550317</v>
      </c>
      <c r="F290" s="9">
        <v>103.7172085485668</v>
      </c>
      <c r="G290" s="9">
        <v>103.09585235165709</v>
      </c>
      <c r="H290" s="9">
        <v>113.91083942149992</v>
      </c>
    </row>
    <row r="291" spans="1:8">
      <c r="A291" s="404"/>
      <c r="B291" s="295">
        <v>77</v>
      </c>
      <c r="C291" s="9">
        <v>117.22161572052401</v>
      </c>
      <c r="D291" s="9">
        <v>115.9075907590759</v>
      </c>
      <c r="E291" s="9">
        <v>115.65515094926859</v>
      </c>
      <c r="F291" s="9">
        <v>115.1070695218539</v>
      </c>
      <c r="G291" s="9">
        <v>114.39239646978955</v>
      </c>
      <c r="H291" s="9">
        <v>125.60547853682979</v>
      </c>
    </row>
    <row r="292" spans="1:8">
      <c r="A292" s="404"/>
      <c r="B292" s="295">
        <v>78</v>
      </c>
      <c r="C292" s="9">
        <v>130.13265950726469</v>
      </c>
      <c r="D292" s="9">
        <v>128.65316220813361</v>
      </c>
      <c r="E292" s="9">
        <v>128.47325963549446</v>
      </c>
      <c r="F292" s="9">
        <v>127.75547573772802</v>
      </c>
      <c r="G292" s="9">
        <v>127.11470841902739</v>
      </c>
      <c r="H292" s="9">
        <v>138.44967219436947</v>
      </c>
    </row>
    <row r="293" spans="1:8">
      <c r="A293" s="404"/>
      <c r="B293" s="295">
        <v>79</v>
      </c>
      <c r="C293" s="9">
        <v>144.26531552280056</v>
      </c>
      <c r="D293" s="9">
        <v>142.57210230364595</v>
      </c>
      <c r="E293" s="9">
        <v>142.41376252549441</v>
      </c>
      <c r="F293" s="9">
        <v>141.85369196505053</v>
      </c>
      <c r="G293" s="9">
        <v>141.11568579962864</v>
      </c>
      <c r="H293" s="9">
        <v>152.64726105890441</v>
      </c>
    </row>
    <row r="294" spans="1:8">
      <c r="A294" s="404"/>
      <c r="B294" s="295">
        <v>80</v>
      </c>
      <c r="C294" s="9">
        <v>159.72978862497274</v>
      </c>
      <c r="D294" s="9">
        <v>157.91169835642927</v>
      </c>
      <c r="E294" s="9">
        <v>157.76135163674763</v>
      </c>
      <c r="F294" s="9">
        <v>157.13400784637622</v>
      </c>
      <c r="G294" s="9">
        <v>156.29984051036683</v>
      </c>
      <c r="H294" s="9">
        <v>167.98791996979992</v>
      </c>
    </row>
    <row r="295" spans="1:8">
      <c r="A295" s="404"/>
      <c r="B295" s="295">
        <v>81</v>
      </c>
      <c r="C295" s="9">
        <v>176.38617090671889</v>
      </c>
      <c r="D295" s="9">
        <v>174.56423499031635</v>
      </c>
      <c r="E295" s="9">
        <v>174.39938985636203</v>
      </c>
      <c r="F295" s="9">
        <v>173.68486817443457</v>
      </c>
      <c r="G295" s="9">
        <v>172.89377289377288</v>
      </c>
      <c r="H295" s="9">
        <v>184.50971103742299</v>
      </c>
    </row>
    <row r="296" spans="1:8">
      <c r="A296" s="404"/>
      <c r="B296" s="295">
        <v>82</v>
      </c>
      <c r="C296" s="9">
        <v>194.44003177124702</v>
      </c>
      <c r="D296" s="9">
        <v>192.31979855209318</v>
      </c>
      <c r="E296" s="9">
        <v>192.16417910447763</v>
      </c>
      <c r="F296" s="9">
        <v>191.27773527161438</v>
      </c>
      <c r="G296" s="9">
        <v>190.6766917293233</v>
      </c>
      <c r="H296" s="9">
        <v>202.53912016533806</v>
      </c>
    </row>
    <row r="297" spans="1:8">
      <c r="A297" s="404"/>
      <c r="B297" s="295">
        <v>83</v>
      </c>
      <c r="C297" s="9">
        <v>213.46534653465349</v>
      </c>
      <c r="D297" s="9">
        <v>211.328125</v>
      </c>
      <c r="E297" s="9">
        <v>211.27848590189262</v>
      </c>
      <c r="F297" s="9">
        <v>210.26521656172488</v>
      </c>
      <c r="G297" s="9">
        <v>209.53811490799853</v>
      </c>
      <c r="H297" s="9">
        <v>223.16960148285449</v>
      </c>
    </row>
    <row r="298" spans="1:8">
      <c r="A298" s="404"/>
      <c r="B298" s="295">
        <v>84</v>
      </c>
      <c r="C298" s="9">
        <v>234.58038422649142</v>
      </c>
      <c r="D298" s="9">
        <v>231.610337972167</v>
      </c>
      <c r="E298" s="9">
        <v>231.84152604548785</v>
      </c>
      <c r="F298" s="9">
        <v>231.25302370585388</v>
      </c>
      <c r="G298" s="9">
        <v>230.34647550776586</v>
      </c>
      <c r="H298" s="9">
        <v>247.87133396404923</v>
      </c>
    </row>
    <row r="299" spans="1:8">
      <c r="A299" s="404"/>
      <c r="B299" s="295">
        <v>85</v>
      </c>
      <c r="C299" s="9">
        <v>257.74555042847732</v>
      </c>
      <c r="D299" s="9">
        <v>254.62812601493988</v>
      </c>
      <c r="E299" s="9">
        <v>254.77707006369425</v>
      </c>
      <c r="F299" s="9">
        <v>253.99811853245535</v>
      </c>
      <c r="G299" s="9">
        <v>253.02325581395345</v>
      </c>
      <c r="H299" s="9">
        <v>276.54320987654319</v>
      </c>
    </row>
    <row r="300" spans="1:8">
      <c r="A300" s="404"/>
      <c r="B300" s="295">
        <v>86</v>
      </c>
      <c r="C300" s="9">
        <v>283.57551739321883</v>
      </c>
      <c r="D300" s="9">
        <v>280.74750108648414</v>
      </c>
      <c r="E300" s="9">
        <v>280.95644748078564</v>
      </c>
      <c r="F300" s="9">
        <v>279.73199329983248</v>
      </c>
      <c r="G300" s="9">
        <v>279.58762886597941</v>
      </c>
      <c r="H300" s="9">
        <v>308.19942315615981</v>
      </c>
    </row>
    <row r="301" spans="1:8">
      <c r="A301" s="404"/>
      <c r="B301" s="295">
        <v>87</v>
      </c>
      <c r="C301" s="9">
        <v>314.25091352009747</v>
      </c>
      <c r="D301" s="9">
        <v>309.99401555954518</v>
      </c>
      <c r="E301" s="9">
        <v>310.58823529411768</v>
      </c>
      <c r="F301" s="9">
        <v>310.18518518518522</v>
      </c>
      <c r="G301" s="9">
        <v>308.91538898353213</v>
      </c>
      <c r="H301" s="9">
        <v>344.28086070215176</v>
      </c>
    </row>
    <row r="302" spans="1:8">
      <c r="A302" s="404"/>
      <c r="B302" s="295">
        <v>88</v>
      </c>
      <c r="C302" s="9">
        <v>348.81682734443467</v>
      </c>
      <c r="D302" s="9">
        <v>343.05317324185251</v>
      </c>
      <c r="E302" s="9">
        <v>344.24853064651552</v>
      </c>
      <c r="F302" s="9">
        <v>343.801652892562</v>
      </c>
      <c r="G302" s="9">
        <v>343.08943089430892</v>
      </c>
      <c r="H302" s="9">
        <v>383.49514563106794</v>
      </c>
    </row>
    <row r="303" spans="1:8">
      <c r="A303" s="404"/>
      <c r="B303" s="295">
        <v>89</v>
      </c>
      <c r="C303" s="9">
        <v>386.7549668874172</v>
      </c>
      <c r="D303" s="9">
        <v>380.95238095238091</v>
      </c>
      <c r="E303" s="9">
        <v>382.97872340425533</v>
      </c>
      <c r="F303" s="9">
        <v>383.29238329238331</v>
      </c>
      <c r="G303" s="9">
        <v>380.60606060606062</v>
      </c>
      <c r="H303" s="9">
        <v>426.15012106537529</v>
      </c>
    </row>
    <row r="304" spans="1:8">
      <c r="A304" s="404"/>
      <c r="B304" s="295">
        <v>90</v>
      </c>
      <c r="C304" s="9">
        <v>429.78723404255328</v>
      </c>
      <c r="D304" s="9">
        <v>421.26789366053168</v>
      </c>
      <c r="E304" s="9">
        <v>421.25984251968504</v>
      </c>
      <c r="F304" s="9">
        <v>423.07692307692309</v>
      </c>
      <c r="G304" s="9">
        <v>423.44045368620039</v>
      </c>
      <c r="H304" s="9">
        <v>472.58979206049145</v>
      </c>
    </row>
    <row r="305" spans="1:8">
      <c r="A305" s="404"/>
      <c r="B305" s="295">
        <v>91</v>
      </c>
      <c r="C305" s="9">
        <v>476.19047619047615</v>
      </c>
      <c r="D305" s="9">
        <v>466.89895470383283</v>
      </c>
      <c r="E305" s="9">
        <v>470.19867549668868</v>
      </c>
      <c r="F305" s="9">
        <v>467.9487179487179</v>
      </c>
      <c r="G305" s="9">
        <v>465.40880503144649</v>
      </c>
      <c r="H305" s="9">
        <v>520.37617554858934</v>
      </c>
    </row>
    <row r="306" spans="1:8">
      <c r="A306" s="404"/>
      <c r="B306" s="295">
        <v>92</v>
      </c>
      <c r="C306" s="9">
        <v>539.00709219858152</v>
      </c>
      <c r="D306" s="9">
        <v>513.1578947368422</v>
      </c>
      <c r="E306" s="9">
        <v>509.09090909090912</v>
      </c>
      <c r="F306" s="9">
        <v>523.25581395348843</v>
      </c>
      <c r="G306" s="9">
        <v>522.72727272727275</v>
      </c>
      <c r="H306" s="9">
        <v>584.2696629213483</v>
      </c>
    </row>
    <row r="307" spans="1:8">
      <c r="A307" s="404"/>
      <c r="B307" s="295">
        <v>93</v>
      </c>
      <c r="C307" s="9">
        <v>612.90322580645159</v>
      </c>
      <c r="D307" s="9">
        <v>579.71014492753613</v>
      </c>
      <c r="E307" s="9">
        <v>564.10256410256409</v>
      </c>
      <c r="F307" s="9">
        <v>578.31325301204822</v>
      </c>
      <c r="G307" s="9">
        <v>581.39534883720933</v>
      </c>
      <c r="H307" s="9">
        <v>674.15730337078651</v>
      </c>
    </row>
    <row r="308" spans="1:8">
      <c r="A308" s="404"/>
      <c r="B308" s="295">
        <v>94</v>
      </c>
      <c r="C308" s="9">
        <v>800</v>
      </c>
      <c r="D308" s="9">
        <v>666.66666666666663</v>
      </c>
      <c r="E308" s="9">
        <v>714.28571428571433</v>
      </c>
      <c r="F308" s="9">
        <v>687.5</v>
      </c>
      <c r="G308" s="9">
        <v>727.27272727272725</v>
      </c>
      <c r="H308" s="9">
        <v>799.99999999999989</v>
      </c>
    </row>
    <row r="309" spans="1:8">
      <c r="A309" s="404"/>
      <c r="B309" s="295">
        <v>95</v>
      </c>
      <c r="C309" s="9">
        <v>666.66666666666663</v>
      </c>
      <c r="D309" s="9">
        <v>500</v>
      </c>
      <c r="E309" s="9">
        <v>571.42857142857144</v>
      </c>
      <c r="F309" s="9">
        <v>750</v>
      </c>
      <c r="G309" s="9">
        <v>666.66666666666674</v>
      </c>
      <c r="H309" s="9">
        <v>1000</v>
      </c>
    </row>
    <row r="310" spans="1:8">
      <c r="A310" s="404"/>
      <c r="B310" s="295">
        <v>96</v>
      </c>
      <c r="C310" s="9">
        <v>1000</v>
      </c>
      <c r="D310" s="9">
        <v>500</v>
      </c>
      <c r="E310" s="9">
        <v>666.66666666666663</v>
      </c>
      <c r="F310" s="9">
        <v>500</v>
      </c>
      <c r="G310" s="9">
        <v>500</v>
      </c>
      <c r="H310" s="9">
        <v>0</v>
      </c>
    </row>
    <row r="311" spans="1:8">
      <c r="A311" s="404"/>
      <c r="B311" s="295">
        <v>97</v>
      </c>
      <c r="C311" s="9">
        <v>0</v>
      </c>
      <c r="D311" s="9">
        <v>1000</v>
      </c>
      <c r="E311" s="9">
        <v>1000</v>
      </c>
      <c r="F311" s="9">
        <v>1000</v>
      </c>
      <c r="G311" s="9">
        <v>1000</v>
      </c>
      <c r="H311" s="9">
        <v>0</v>
      </c>
    </row>
    <row r="312" spans="1:8">
      <c r="A312" s="404"/>
      <c r="B312" s="295">
        <v>98</v>
      </c>
      <c r="C312" s="9">
        <v>0</v>
      </c>
      <c r="D312" s="9">
        <v>0</v>
      </c>
      <c r="E312" s="9">
        <v>0</v>
      </c>
      <c r="F312" s="9">
        <v>0</v>
      </c>
      <c r="G312" s="9">
        <v>0</v>
      </c>
      <c r="H312" s="9">
        <v>0</v>
      </c>
    </row>
    <row r="313" spans="1:8">
      <c r="A313" s="404"/>
      <c r="B313" s="295">
        <v>99</v>
      </c>
      <c r="C313" s="9">
        <v>0</v>
      </c>
      <c r="D313" s="9">
        <v>0</v>
      </c>
      <c r="E313" s="9">
        <v>0</v>
      </c>
      <c r="F313" s="9">
        <v>0</v>
      </c>
      <c r="G313" s="9">
        <v>0</v>
      </c>
      <c r="H313" s="9">
        <v>0</v>
      </c>
    </row>
    <row r="314" spans="1:8">
      <c r="A314" s="405"/>
      <c r="B314" s="295">
        <v>100</v>
      </c>
      <c r="C314" s="9">
        <v>0</v>
      </c>
      <c r="D314" s="9">
        <v>0</v>
      </c>
      <c r="E314" s="9">
        <v>0</v>
      </c>
      <c r="F314" s="9">
        <v>0</v>
      </c>
      <c r="G314" s="9">
        <v>0</v>
      </c>
      <c r="H314" s="9">
        <v>0</v>
      </c>
    </row>
    <row r="317" spans="1:8" ht="14.4" thickBot="1">
      <c r="A317" s="160" t="s">
        <v>335</v>
      </c>
    </row>
    <row r="318" spans="1:8">
      <c r="C318" s="4">
        <v>2015</v>
      </c>
      <c r="D318" s="4">
        <v>2016</v>
      </c>
      <c r="E318" s="4">
        <v>2017</v>
      </c>
      <c r="F318" s="4">
        <v>2018</v>
      </c>
      <c r="G318" s="4">
        <v>2019</v>
      </c>
      <c r="H318" s="4">
        <v>2020</v>
      </c>
    </row>
    <row r="319" spans="1:8" ht="55.8" customHeight="1">
      <c r="A319" s="406" t="s">
        <v>460</v>
      </c>
      <c r="B319" s="295" t="s">
        <v>337</v>
      </c>
      <c r="C319" s="297">
        <v>0.50746763951186602</v>
      </c>
      <c r="D319" s="297">
        <v>0.50756938378390748</v>
      </c>
      <c r="E319" s="297">
        <v>0.50771010844328579</v>
      </c>
      <c r="F319" s="297">
        <v>0.50771010844328579</v>
      </c>
      <c r="G319" s="297">
        <v>0.50781175247466503</v>
      </c>
      <c r="H319" s="297">
        <v>0.50781175247466503</v>
      </c>
    </row>
    <row r="320" spans="1:8" ht="82.8" customHeight="1">
      <c r="A320" s="407"/>
      <c r="B320" s="295" t="s">
        <v>338</v>
      </c>
      <c r="C320" s="297">
        <v>0.49253236048813398</v>
      </c>
      <c r="D320" s="297">
        <v>0.49243061621609252</v>
      </c>
      <c r="E320" s="297">
        <v>0.49228989155671421</v>
      </c>
      <c r="F320" s="297">
        <v>0.49228989155671421</v>
      </c>
      <c r="G320" s="297">
        <v>0.49218824752533497</v>
      </c>
      <c r="H320" s="297">
        <v>0.49218824752533497</v>
      </c>
    </row>
    <row r="323" spans="1:105" ht="14.4" thickBot="1">
      <c r="A323" s="160" t="s">
        <v>339</v>
      </c>
    </row>
    <row r="324" spans="1:105">
      <c r="B324" s="4" t="s">
        <v>20</v>
      </c>
      <c r="C324" s="4" t="s">
        <v>21</v>
      </c>
      <c r="D324" s="4" t="s">
        <v>22</v>
      </c>
      <c r="E324" s="4">
        <v>2010</v>
      </c>
      <c r="F324" s="4">
        <v>2011</v>
      </c>
      <c r="G324" s="4">
        <v>2012</v>
      </c>
      <c r="H324" s="4">
        <v>2013</v>
      </c>
      <c r="I324" s="4">
        <v>2014</v>
      </c>
      <c r="J324" s="4">
        <v>2015</v>
      </c>
      <c r="K324" s="4">
        <v>2016</v>
      </c>
      <c r="L324" s="4">
        <v>2017</v>
      </c>
      <c r="M324" s="4">
        <v>2018</v>
      </c>
      <c r="N324" s="4">
        <v>2019</v>
      </c>
      <c r="O324" s="4">
        <v>2020</v>
      </c>
      <c r="P324" s="4">
        <v>2021</v>
      </c>
      <c r="Q324" s="4">
        <v>2022</v>
      </c>
    </row>
    <row r="325" spans="1:105" s="43" customFormat="1" ht="55.2">
      <c r="A325" s="229" t="s">
        <v>487</v>
      </c>
      <c r="B325" s="230" t="s">
        <v>341</v>
      </c>
      <c r="C325" s="231" t="s">
        <v>342</v>
      </c>
      <c r="D325" s="71" t="s">
        <v>343</v>
      </c>
      <c r="E325" s="71">
        <v>5014704.1194021935</v>
      </c>
      <c r="F325" s="71">
        <v>5189731.8388220072</v>
      </c>
      <c r="G325" s="71">
        <v>5365461.1157710236</v>
      </c>
      <c r="H325" s="71">
        <v>5547641.1934513832</v>
      </c>
      <c r="I325" s="71">
        <v>5738948.4628032558</v>
      </c>
      <c r="J325" s="71">
        <v>5940433.7095109997</v>
      </c>
      <c r="K325" s="71">
        <v>6152760.8766204193</v>
      </c>
      <c r="L325" s="71">
        <v>6368823.1393404221</v>
      </c>
      <c r="M325" s="71">
        <v>6598419.9998197332</v>
      </c>
      <c r="N325" s="71">
        <v>6842631.0080168163</v>
      </c>
      <c r="O325" s="71">
        <v>7092386.3983000955</v>
      </c>
      <c r="P325" s="71">
        <v>7323298.1941950433</v>
      </c>
      <c r="Q325" s="71">
        <v>7597469.0227570124</v>
      </c>
    </row>
    <row r="329" spans="1:105" ht="14.4" thickBot="1">
      <c r="A329" s="160" t="s">
        <v>344</v>
      </c>
    </row>
    <row r="330" spans="1:105" ht="14.4" customHeight="1">
      <c r="D330" s="4">
        <v>0</v>
      </c>
      <c r="E330" s="4">
        <v>1</v>
      </c>
      <c r="F330" s="4">
        <v>2</v>
      </c>
      <c r="G330" s="4">
        <v>3</v>
      </c>
      <c r="H330" s="4">
        <v>4</v>
      </c>
      <c r="I330" s="4">
        <v>5</v>
      </c>
      <c r="J330" s="4">
        <v>6</v>
      </c>
      <c r="K330" s="4">
        <v>7</v>
      </c>
      <c r="L330" s="4">
        <v>8</v>
      </c>
      <c r="M330" s="4">
        <v>9</v>
      </c>
      <c r="N330" s="4">
        <v>10</v>
      </c>
      <c r="O330" s="4">
        <v>11</v>
      </c>
      <c r="P330" s="4">
        <v>12</v>
      </c>
      <c r="Q330" s="4">
        <v>13</v>
      </c>
      <c r="R330" s="4">
        <v>14</v>
      </c>
      <c r="S330" s="4">
        <v>15</v>
      </c>
      <c r="T330" s="4">
        <v>16</v>
      </c>
      <c r="U330" s="4">
        <v>17</v>
      </c>
      <c r="V330" s="4">
        <v>18</v>
      </c>
      <c r="W330" s="4">
        <v>19</v>
      </c>
      <c r="X330" s="4">
        <v>20</v>
      </c>
      <c r="Y330" s="4">
        <v>21</v>
      </c>
      <c r="Z330" s="4">
        <v>22</v>
      </c>
      <c r="AA330" s="4">
        <v>23</v>
      </c>
      <c r="AB330" s="4">
        <v>24</v>
      </c>
      <c r="AC330" s="4">
        <v>25</v>
      </c>
      <c r="AD330" s="4">
        <v>26</v>
      </c>
      <c r="AE330" s="4">
        <v>27</v>
      </c>
      <c r="AF330" s="4">
        <v>28</v>
      </c>
      <c r="AG330" s="4">
        <v>29</v>
      </c>
      <c r="AH330" s="4">
        <v>30</v>
      </c>
      <c r="AI330" s="4">
        <v>31</v>
      </c>
      <c r="AJ330" s="4">
        <v>32</v>
      </c>
      <c r="AK330" s="4">
        <v>33</v>
      </c>
      <c r="AL330" s="4">
        <v>34</v>
      </c>
      <c r="AM330" s="4">
        <v>35</v>
      </c>
      <c r="AN330" s="4">
        <v>36</v>
      </c>
      <c r="AO330" s="4">
        <v>37</v>
      </c>
      <c r="AP330" s="4">
        <v>38</v>
      </c>
      <c r="AQ330" s="4">
        <v>39</v>
      </c>
      <c r="AR330" s="4">
        <v>40</v>
      </c>
      <c r="AS330" s="4">
        <v>41</v>
      </c>
      <c r="AT330" s="4">
        <v>42</v>
      </c>
      <c r="AU330" s="4">
        <v>43</v>
      </c>
      <c r="AV330" s="4">
        <v>44</v>
      </c>
      <c r="AW330" s="4">
        <v>45</v>
      </c>
      <c r="AX330" s="4">
        <v>46</v>
      </c>
      <c r="AY330" s="4">
        <v>47</v>
      </c>
      <c r="AZ330" s="4">
        <v>48</v>
      </c>
      <c r="BA330" s="4">
        <v>49</v>
      </c>
      <c r="BB330" s="4">
        <v>50</v>
      </c>
      <c r="BC330" s="4">
        <v>51</v>
      </c>
      <c r="BD330" s="4">
        <v>52</v>
      </c>
      <c r="BE330" s="4">
        <v>53</v>
      </c>
      <c r="BF330" s="4">
        <v>54</v>
      </c>
      <c r="BG330" s="4">
        <v>55</v>
      </c>
      <c r="BH330" s="4">
        <v>56</v>
      </c>
      <c r="BI330" s="4">
        <v>57</v>
      </c>
      <c r="BJ330" s="4">
        <v>58</v>
      </c>
      <c r="BK330" s="4">
        <v>59</v>
      </c>
      <c r="BL330" s="4">
        <v>60</v>
      </c>
      <c r="BM330" s="4">
        <v>61</v>
      </c>
      <c r="BN330" s="4">
        <v>62</v>
      </c>
      <c r="BO330" s="4">
        <v>63</v>
      </c>
      <c r="BP330" s="4">
        <v>64</v>
      </c>
      <c r="BQ330" s="4">
        <v>65</v>
      </c>
      <c r="BR330" s="4">
        <v>66</v>
      </c>
      <c r="BS330" s="4">
        <v>67</v>
      </c>
      <c r="BT330" s="4">
        <v>68</v>
      </c>
      <c r="BU330" s="4">
        <v>69</v>
      </c>
      <c r="BV330" s="4">
        <v>70</v>
      </c>
      <c r="BW330" s="4">
        <v>71</v>
      </c>
      <c r="BX330" s="4">
        <v>72</v>
      </c>
      <c r="BY330" s="4">
        <v>73</v>
      </c>
      <c r="BZ330" s="4">
        <v>74</v>
      </c>
      <c r="CA330" s="4">
        <v>75</v>
      </c>
      <c r="CB330" s="4">
        <v>76</v>
      </c>
      <c r="CC330" s="4">
        <v>77</v>
      </c>
      <c r="CD330" s="4">
        <v>78</v>
      </c>
      <c r="CE330" s="4">
        <v>79</v>
      </c>
      <c r="CF330" s="4">
        <v>80</v>
      </c>
      <c r="CG330" s="4">
        <v>81</v>
      </c>
      <c r="CH330" s="4">
        <v>82</v>
      </c>
      <c r="CI330" s="4">
        <v>83</v>
      </c>
      <c r="CJ330" s="4">
        <v>84</v>
      </c>
      <c r="CK330" s="4">
        <v>85</v>
      </c>
      <c r="CL330" s="4">
        <v>86</v>
      </c>
      <c r="CM330" s="4">
        <v>87</v>
      </c>
      <c r="CN330" s="4">
        <v>88</v>
      </c>
      <c r="CO330" s="4">
        <v>89</v>
      </c>
      <c r="CP330" s="4">
        <v>90</v>
      </c>
      <c r="CQ330" s="4">
        <v>91</v>
      </c>
      <c r="CR330" s="4">
        <v>92</v>
      </c>
      <c r="CS330" s="4">
        <v>93</v>
      </c>
      <c r="CT330" s="4">
        <v>94</v>
      </c>
      <c r="CU330" s="4">
        <v>95</v>
      </c>
      <c r="CV330" s="4">
        <v>96</v>
      </c>
      <c r="CW330" s="4">
        <v>97</v>
      </c>
      <c r="CX330" s="4">
        <v>98</v>
      </c>
      <c r="CY330" s="4">
        <v>99</v>
      </c>
      <c r="CZ330" s="4">
        <v>100</v>
      </c>
      <c r="DA330" s="190"/>
    </row>
    <row r="331" spans="1:105" s="43" customFormat="1" ht="49.2" customHeight="1">
      <c r="A331" s="408" t="s">
        <v>488</v>
      </c>
      <c r="B331" s="295" t="s">
        <v>337</v>
      </c>
      <c r="C331" s="232">
        <v>2015</v>
      </c>
      <c r="D331" s="71">
        <v>121923.63930330922</v>
      </c>
      <c r="E331" s="71">
        <v>115913.402305447</v>
      </c>
      <c r="F331" s="71">
        <v>111837.08682091758</v>
      </c>
      <c r="G331" s="71">
        <v>108064.29445511708</v>
      </c>
      <c r="H331" s="71">
        <v>104166.0991165786</v>
      </c>
      <c r="I331" s="71">
        <v>100350.81351415603</v>
      </c>
      <c r="J331" s="71">
        <v>96555.975784995229</v>
      </c>
      <c r="K331" s="71">
        <v>93041.817066153744</v>
      </c>
      <c r="L331" s="71">
        <v>89651.94307698129</v>
      </c>
      <c r="M331" s="71">
        <v>86471.979286761314</v>
      </c>
      <c r="N331" s="71">
        <v>83144.886658462769</v>
      </c>
      <c r="O331" s="71">
        <v>79533.760290637889</v>
      </c>
      <c r="P331" s="71">
        <v>76015.607846549974</v>
      </c>
      <c r="Q331" s="71">
        <v>72648.258467767373</v>
      </c>
      <c r="R331" s="71">
        <v>69543.536461190219</v>
      </c>
      <c r="S331" s="71">
        <v>66647.766159506442</v>
      </c>
      <c r="T331" s="71">
        <v>63463.329397010501</v>
      </c>
      <c r="U331" s="71">
        <v>60267.390705804799</v>
      </c>
      <c r="V331" s="71">
        <v>57480.24973082402</v>
      </c>
      <c r="W331" s="71">
        <v>55092.960527516123</v>
      </c>
      <c r="X331" s="71">
        <v>53385.083863131433</v>
      </c>
      <c r="Y331" s="71">
        <v>51766.986142286572</v>
      </c>
      <c r="Z331" s="71">
        <v>49941.21470862718</v>
      </c>
      <c r="AA331" s="71">
        <v>48287.173460564416</v>
      </c>
      <c r="AB331" s="71">
        <v>46543.832515991402</v>
      </c>
      <c r="AC331" s="71">
        <v>45051.617014914111</v>
      </c>
      <c r="AD331" s="71">
        <v>43942.000392445123</v>
      </c>
      <c r="AE331" s="71">
        <v>42651.547890817623</v>
      </c>
      <c r="AF331" s="71">
        <v>41374.514306018158</v>
      </c>
      <c r="AG331" s="71">
        <v>40081.66556924281</v>
      </c>
      <c r="AH331" s="71">
        <v>38697.759896848787</v>
      </c>
      <c r="AI331" s="71">
        <v>37463.379297681218</v>
      </c>
      <c r="AJ331" s="71">
        <v>36335.8707861082</v>
      </c>
      <c r="AK331" s="71">
        <v>35199.735828002893</v>
      </c>
      <c r="AL331" s="71">
        <v>33909.922322414837</v>
      </c>
      <c r="AM331" s="71">
        <v>32480.168684191751</v>
      </c>
      <c r="AN331" s="71">
        <v>30898.493737594359</v>
      </c>
      <c r="AO331" s="71">
        <v>29308.192344464664</v>
      </c>
      <c r="AP331" s="71">
        <v>27826.200780018244</v>
      </c>
      <c r="AQ331" s="71">
        <v>26321.045609142508</v>
      </c>
      <c r="AR331" s="71">
        <v>24797.51930213318</v>
      </c>
      <c r="AS331" s="71">
        <v>23333.100128771061</v>
      </c>
      <c r="AT331" s="71">
        <v>21946.159225189745</v>
      </c>
      <c r="AU331" s="71">
        <v>20648.837516138392</v>
      </c>
      <c r="AV331" s="71">
        <v>19431.390312015701</v>
      </c>
      <c r="AW331" s="71">
        <v>18305.479290541258</v>
      </c>
      <c r="AX331" s="71">
        <v>17294.268058144378</v>
      </c>
      <c r="AY331" s="71">
        <v>16344.719943552427</v>
      </c>
      <c r="AZ331" s="71">
        <v>15459.071432903405</v>
      </c>
      <c r="BA331" s="71">
        <v>14648.504956887326</v>
      </c>
      <c r="BB331" s="71">
        <v>13913.659511543621</v>
      </c>
      <c r="BC331" s="71">
        <v>13281.692428548036</v>
      </c>
      <c r="BD331" s="71">
        <v>12732.635081668403</v>
      </c>
      <c r="BE331" s="71">
        <v>12236.294908041686</v>
      </c>
      <c r="BF331" s="71">
        <v>11769.508301238577</v>
      </c>
      <c r="BG331" s="71">
        <v>11319.495340470487</v>
      </c>
      <c r="BH331" s="71">
        <v>10916.288839590592</v>
      </c>
      <c r="BI331" s="71">
        <v>10556.214571372177</v>
      </c>
      <c r="BJ331" s="71">
        <v>10217.22717245493</v>
      </c>
      <c r="BK331" s="71">
        <v>9886.386973040404</v>
      </c>
      <c r="BL331" s="71">
        <v>9562.5757300596033</v>
      </c>
      <c r="BM331" s="71">
        <v>9248.5091766800961</v>
      </c>
      <c r="BN331" s="71">
        <v>8929.9696510245867</v>
      </c>
      <c r="BO331" s="71">
        <v>8603.1231768564958</v>
      </c>
      <c r="BP331" s="71">
        <v>8255.0300843773803</v>
      </c>
      <c r="BQ331" s="71">
        <v>7674.5021825558533</v>
      </c>
      <c r="BR331" s="71">
        <v>7201.1658663485932</v>
      </c>
      <c r="BS331" s="71">
        <v>7096.0510178624718</v>
      </c>
      <c r="BT331" s="71">
        <v>6818.5669877402943</v>
      </c>
      <c r="BU331" s="71">
        <v>6357.5313452920473</v>
      </c>
      <c r="BV331" s="71">
        <v>6041.2283057745399</v>
      </c>
      <c r="BW331" s="71">
        <v>5779.7191766380956</v>
      </c>
      <c r="BX331" s="71">
        <v>5411.1782108972411</v>
      </c>
      <c r="BY331" s="71">
        <v>4940.7173768674138</v>
      </c>
      <c r="BZ331" s="71">
        <v>4403.1619586975075</v>
      </c>
      <c r="CA331" s="71">
        <v>3787.6490237172266</v>
      </c>
      <c r="CB331" s="71">
        <v>3233.160210502444</v>
      </c>
      <c r="CC331" s="71">
        <v>2812.3813185382442</v>
      </c>
      <c r="CD331" s="71">
        <v>2445.118344876249</v>
      </c>
      <c r="CE331" s="71">
        <v>2109.9649221955769</v>
      </c>
      <c r="CF331" s="71">
        <v>1793.5021336682116</v>
      </c>
      <c r="CG331" s="71">
        <v>1503.3979317673056</v>
      </c>
      <c r="CH331" s="71">
        <v>1240.1315635224305</v>
      </c>
      <c r="CI331" s="71">
        <v>1000.1885507167252</v>
      </c>
      <c r="CJ331" s="71">
        <v>788.20161463605211</v>
      </c>
      <c r="CK331" s="71">
        <v>609.60222161556032</v>
      </c>
      <c r="CL331" s="71">
        <v>461.99413650739007</v>
      </c>
      <c r="CM331" s="71">
        <v>340.26539099610676</v>
      </c>
      <c r="CN331" s="71">
        <v>242.4989969634226</v>
      </c>
      <c r="CO331" s="71">
        <v>166.13897025162024</v>
      </c>
      <c r="CP331" s="71">
        <v>108.46957769312513</v>
      </c>
      <c r="CQ331" s="71">
        <v>67.573831169649381</v>
      </c>
      <c r="CR331" s="71">
        <v>39.458005434759798</v>
      </c>
      <c r="CS331" s="71">
        <v>21.086869301167184</v>
      </c>
      <c r="CT331" s="71">
        <v>9.7446896012969546</v>
      </c>
      <c r="CU331" s="71">
        <v>3.0352311872892153</v>
      </c>
      <c r="CV331" s="71">
        <v>0.79874504928663581</v>
      </c>
      <c r="CW331" s="71">
        <v>0.3194980197146543</v>
      </c>
      <c r="CX331" s="71">
        <v>0.15974900985732715</v>
      </c>
      <c r="CY331" s="71">
        <v>0</v>
      </c>
      <c r="CZ331" s="71">
        <v>0</v>
      </c>
      <c r="DA331" s="233"/>
    </row>
    <row r="332" spans="1:105" s="43" customFormat="1" ht="59.4" customHeight="1">
      <c r="A332" s="409"/>
      <c r="B332" s="295" t="s">
        <v>338</v>
      </c>
      <c r="C332" s="232">
        <v>2015</v>
      </c>
      <c r="D332" s="71">
        <v>125062.22809997611</v>
      </c>
      <c r="E332" s="71">
        <v>118360.9168854711</v>
      </c>
      <c r="F332" s="71">
        <v>114084.43589159046</v>
      </c>
      <c r="G332" s="71">
        <v>110285.12519015365</v>
      </c>
      <c r="H332" s="71">
        <v>106403.38399963046</v>
      </c>
      <c r="I332" s="71">
        <v>102594.32860859233</v>
      </c>
      <c r="J332" s="71">
        <v>98753.483164592617</v>
      </c>
      <c r="K332" s="71">
        <v>95170.951869532219</v>
      </c>
      <c r="L332" s="71">
        <v>91793.059056099024</v>
      </c>
      <c r="M332" s="71">
        <v>88634.022386170385</v>
      </c>
      <c r="N332" s="71">
        <v>85253.254090559771</v>
      </c>
      <c r="O332" s="71">
        <v>81568.802927210374</v>
      </c>
      <c r="P332" s="71">
        <v>77992.18234551468</v>
      </c>
      <c r="Q332" s="71">
        <v>74587.451698425473</v>
      </c>
      <c r="R332" s="71">
        <v>71456.371105221857</v>
      </c>
      <c r="S332" s="71">
        <v>68537.437197108768</v>
      </c>
      <c r="T332" s="71">
        <v>65314.181425217488</v>
      </c>
      <c r="U332" s="71">
        <v>62062.17083155187</v>
      </c>
      <c r="V332" s="71">
        <v>59247.553026875634</v>
      </c>
      <c r="W332" s="71">
        <v>56800.198195861383</v>
      </c>
      <c r="X332" s="71">
        <v>54975.704754280843</v>
      </c>
      <c r="Y332" s="71">
        <v>53249.616702772437</v>
      </c>
      <c r="Z332" s="71">
        <v>51345.089007253373</v>
      </c>
      <c r="AA332" s="71">
        <v>49645.998538410837</v>
      </c>
      <c r="AB332" s="71">
        <v>47874.062521073363</v>
      </c>
      <c r="AC332" s="71">
        <v>46392.869701676231</v>
      </c>
      <c r="AD332" s="71">
        <v>45332.455774243295</v>
      </c>
      <c r="AE332" s="71">
        <v>44108.77835873617</v>
      </c>
      <c r="AF332" s="71">
        <v>42893.248142731769</v>
      </c>
      <c r="AG332" s="71">
        <v>41609.50509951829</v>
      </c>
      <c r="AH332" s="71">
        <v>40211.701263266674</v>
      </c>
      <c r="AI332" s="71">
        <v>38949.045089354353</v>
      </c>
      <c r="AJ332" s="71">
        <v>37769.298651557998</v>
      </c>
      <c r="AK332" s="71">
        <v>36576.452794953337</v>
      </c>
      <c r="AL332" s="71">
        <v>35217.148470077336</v>
      </c>
      <c r="AM332" s="71">
        <v>33700.491370491873</v>
      </c>
      <c r="AN332" s="71">
        <v>32048.367110547395</v>
      </c>
      <c r="AO332" s="71">
        <v>30427.713405544815</v>
      </c>
      <c r="AP332" s="71">
        <v>28951.153307433542</v>
      </c>
      <c r="AQ332" s="71">
        <v>27448.234622695807</v>
      </c>
      <c r="AR332" s="71">
        <v>25897.071736981154</v>
      </c>
      <c r="AS332" s="71">
        <v>24379.456143336549</v>
      </c>
      <c r="AT332" s="71">
        <v>22912.32123680686</v>
      </c>
      <c r="AU332" s="71">
        <v>21510.683424318671</v>
      </c>
      <c r="AV332" s="71">
        <v>20178.057184088851</v>
      </c>
      <c r="AW332" s="71">
        <v>18932.014907201694</v>
      </c>
      <c r="AX332" s="71">
        <v>17799.394427313247</v>
      </c>
      <c r="AY332" s="71">
        <v>16739.140248890169</v>
      </c>
      <c r="AZ332" s="71">
        <v>15760.198316484468</v>
      </c>
      <c r="BA332" s="71">
        <v>14868.159845441151</v>
      </c>
      <c r="BB332" s="71">
        <v>14051.043660020923</v>
      </c>
      <c r="BC332" s="71">
        <v>13331.693868633378</v>
      </c>
      <c r="BD332" s="71">
        <v>12698.448793558933</v>
      </c>
      <c r="BE332" s="71">
        <v>12120.476875895125</v>
      </c>
      <c r="BF332" s="71">
        <v>11573.336517133781</v>
      </c>
      <c r="BG332" s="71">
        <v>11045.366039555312</v>
      </c>
      <c r="BH332" s="71">
        <v>10565.639762953759</v>
      </c>
      <c r="BI332" s="71">
        <v>10132.240699210832</v>
      </c>
      <c r="BJ332" s="71">
        <v>9716.0945285324924</v>
      </c>
      <c r="BK332" s="71">
        <v>9311.4502865638842</v>
      </c>
      <c r="BL332" s="71">
        <v>8923.899188650008</v>
      </c>
      <c r="BM332" s="71">
        <v>8550.4060036035771</v>
      </c>
      <c r="BN332" s="71">
        <v>8178.3505596458626</v>
      </c>
      <c r="BO332" s="71">
        <v>7806.2951156881481</v>
      </c>
      <c r="BP332" s="71">
        <v>7417.4660256954139</v>
      </c>
      <c r="BQ332" s="71">
        <v>6865.6929456482058</v>
      </c>
      <c r="BR332" s="71">
        <v>6418.0762200279751</v>
      </c>
      <c r="BS332" s="71">
        <v>6246.8252814609205</v>
      </c>
      <c r="BT332" s="71">
        <v>5907.3586355140997</v>
      </c>
      <c r="BU332" s="71">
        <v>5426.0348688139738</v>
      </c>
      <c r="BV332" s="71">
        <v>5112.6073114738974</v>
      </c>
      <c r="BW332" s="71">
        <v>4874.2617887667657</v>
      </c>
      <c r="BX332" s="71">
        <v>4551.4090398451071</v>
      </c>
      <c r="BY332" s="71">
        <v>4145.1673077779251</v>
      </c>
      <c r="BZ332" s="71">
        <v>3686.5279004775384</v>
      </c>
      <c r="CA332" s="71">
        <v>3174.8518219045195</v>
      </c>
      <c r="CB332" s="71">
        <v>2708.5444621309812</v>
      </c>
      <c r="CC332" s="71">
        <v>2341.2814884689865</v>
      </c>
      <c r="CD332" s="71">
        <v>2023.0614608331907</v>
      </c>
      <c r="CE332" s="71">
        <v>1734.0755020012859</v>
      </c>
      <c r="CF332" s="71">
        <v>1466.1764124705487</v>
      </c>
      <c r="CG332" s="71">
        <v>1224.4761605564127</v>
      </c>
      <c r="CH332" s="71">
        <v>1005.6200170518744</v>
      </c>
      <c r="CI332" s="71">
        <v>806.73249977950206</v>
      </c>
      <c r="CJ332" s="71">
        <v>631.96708299558611</v>
      </c>
      <c r="CK332" s="71">
        <v>484.67849590713047</v>
      </c>
      <c r="CL332" s="71">
        <v>362.79000138598991</v>
      </c>
      <c r="CM332" s="71">
        <v>262.30787418573112</v>
      </c>
      <c r="CN332" s="71">
        <v>182.27362024721026</v>
      </c>
      <c r="CO332" s="71">
        <v>120.61050244228198</v>
      </c>
      <c r="CP332" s="71">
        <v>75.08203463294376</v>
      </c>
      <c r="CQ332" s="71">
        <v>43.611479691050313</v>
      </c>
      <c r="CR332" s="71">
        <v>22.524610389883126</v>
      </c>
      <c r="CS332" s="71">
        <v>9.9044386111542817</v>
      </c>
      <c r="CT332" s="71">
        <v>3.1949801971465432</v>
      </c>
      <c r="CU332" s="71">
        <v>0.9584940591439628</v>
      </c>
      <c r="CV332" s="71">
        <v>0.15974900985732715</v>
      </c>
      <c r="CW332" s="71">
        <v>0.15974900985732715</v>
      </c>
      <c r="CX332" s="71">
        <v>0</v>
      </c>
      <c r="CY332" s="71">
        <v>0</v>
      </c>
      <c r="CZ332" s="71">
        <v>0</v>
      </c>
      <c r="DA332" s="233"/>
    </row>
    <row r="335" spans="1:105" ht="14.4" thickBot="1">
      <c r="A335" s="160" t="s">
        <v>346</v>
      </c>
    </row>
    <row r="336" spans="1:105">
      <c r="B336" s="4" t="s">
        <v>20</v>
      </c>
      <c r="C336" s="4" t="s">
        <v>21</v>
      </c>
      <c r="D336" s="4" t="s">
        <v>22</v>
      </c>
      <c r="E336" s="4">
        <v>2020</v>
      </c>
      <c r="F336" s="4">
        <v>2021</v>
      </c>
      <c r="G336" s="4">
        <v>2022</v>
      </c>
      <c r="H336" s="4">
        <v>2023</v>
      </c>
      <c r="I336" s="4">
        <v>2024</v>
      </c>
      <c r="J336" s="4">
        <v>2025</v>
      </c>
      <c r="K336" s="4">
        <v>2026</v>
      </c>
      <c r="L336" s="4">
        <v>2027</v>
      </c>
      <c r="M336" s="4">
        <v>2028</v>
      </c>
      <c r="N336" s="4">
        <v>2029</v>
      </c>
      <c r="O336" s="4">
        <v>2030</v>
      </c>
      <c r="P336" s="4">
        <v>2031</v>
      </c>
      <c r="Q336" s="4">
        <v>2032</v>
      </c>
      <c r="R336" s="4">
        <v>2033</v>
      </c>
      <c r="S336" s="4">
        <v>2034</v>
      </c>
      <c r="T336" s="4">
        <v>2035</v>
      </c>
      <c r="U336" s="4">
        <v>2036</v>
      </c>
      <c r="V336" s="4">
        <v>2037</v>
      </c>
      <c r="W336" s="4">
        <v>2038</v>
      </c>
      <c r="X336" s="4">
        <v>2039</v>
      </c>
      <c r="Y336" s="4">
        <v>2040</v>
      </c>
      <c r="Z336" s="4">
        <v>2041</v>
      </c>
      <c r="AA336" s="4">
        <v>2042</v>
      </c>
      <c r="AB336" s="4">
        <v>2043</v>
      </c>
      <c r="AC336" s="4">
        <v>2044</v>
      </c>
      <c r="AD336" s="4">
        <v>2045</v>
      </c>
      <c r="AE336" s="4">
        <v>2046</v>
      </c>
      <c r="AF336" s="4">
        <v>2047</v>
      </c>
      <c r="AG336" s="4">
        <v>2048</v>
      </c>
      <c r="AH336" s="4">
        <v>2049</v>
      </c>
      <c r="AI336" s="4">
        <v>2050</v>
      </c>
      <c r="AJ336" s="4">
        <v>2055</v>
      </c>
      <c r="AK336" s="4">
        <v>2060</v>
      </c>
      <c r="AL336" s="4">
        <v>2065</v>
      </c>
      <c r="AM336" s="4">
        <v>2070</v>
      </c>
      <c r="AN336" s="4">
        <v>2075</v>
      </c>
      <c r="AO336" s="4">
        <v>2080</v>
      </c>
      <c r="AP336" s="4">
        <v>2085</v>
      </c>
      <c r="AQ336" s="4">
        <v>2090</v>
      </c>
      <c r="AR336" s="4">
        <v>2095</v>
      </c>
      <c r="AS336" s="4">
        <v>2100</v>
      </c>
    </row>
    <row r="337" spans="1:45">
      <c r="A337" s="229" t="s">
        <v>350</v>
      </c>
      <c r="B337" s="394" t="s">
        <v>348</v>
      </c>
      <c r="C337" s="397" t="s">
        <v>489</v>
      </c>
      <c r="D337" s="400" t="s">
        <v>343</v>
      </c>
      <c r="E337" s="71">
        <v>7092386</v>
      </c>
      <c r="F337" s="71">
        <v>7323298.1941950433</v>
      </c>
      <c r="G337" s="71">
        <v>7597469.0227570124</v>
      </c>
      <c r="H337" s="71">
        <v>7627469.0227570096</v>
      </c>
      <c r="I337" s="71">
        <v>7640431.5048000002</v>
      </c>
      <c r="J337" s="71">
        <v>7652442.8810000001</v>
      </c>
      <c r="K337" s="71">
        <v>7752584.1113999998</v>
      </c>
      <c r="L337" s="71">
        <v>7852725.3418000014</v>
      </c>
      <c r="M337" s="71">
        <v>7952866.5722000003</v>
      </c>
      <c r="N337" s="71">
        <v>8053007.802600001</v>
      </c>
      <c r="O337" s="71">
        <v>8153149.0330000008</v>
      </c>
      <c r="P337" s="71">
        <v>8250446.764200001</v>
      </c>
      <c r="Q337" s="71">
        <v>8347744.4954000004</v>
      </c>
      <c r="R337" s="71">
        <v>8445042.2266000006</v>
      </c>
      <c r="S337" s="71">
        <v>8542339.9578000009</v>
      </c>
      <c r="T337" s="71">
        <v>8639637.6889999993</v>
      </c>
      <c r="U337" s="71">
        <v>8732457.0518000014</v>
      </c>
      <c r="V337" s="71">
        <v>8825276.4145999998</v>
      </c>
      <c r="W337" s="71">
        <v>8918095.7774</v>
      </c>
      <c r="X337" s="71">
        <v>9010915.1402000003</v>
      </c>
      <c r="Y337" s="71">
        <v>9103734.5030000005</v>
      </c>
      <c r="Z337" s="71">
        <v>9189210.3344000019</v>
      </c>
      <c r="AA337" s="71">
        <v>9274686.1658000015</v>
      </c>
      <c r="AB337" s="71">
        <v>9360161.997200001</v>
      </c>
      <c r="AC337" s="71">
        <v>9445637.8286000006</v>
      </c>
      <c r="AD337" s="71">
        <v>9531113.6600000001</v>
      </c>
      <c r="AE337" s="71">
        <v>9599758.2342000008</v>
      </c>
      <c r="AF337" s="71">
        <v>9668402.8084000014</v>
      </c>
      <c r="AG337" s="71">
        <v>9737047.382600002</v>
      </c>
      <c r="AH337" s="71">
        <v>9805691.9567999989</v>
      </c>
      <c r="AI337" s="71">
        <v>9874336.5309999995</v>
      </c>
      <c r="AJ337" s="71">
        <v>10149649.673</v>
      </c>
      <c r="AK337" s="71">
        <v>10383497.744999999</v>
      </c>
      <c r="AL337" s="71">
        <v>10564546.148</v>
      </c>
      <c r="AM337" s="71">
        <v>10708265.42</v>
      </c>
      <c r="AN337" s="71">
        <v>10794595.927999999</v>
      </c>
      <c r="AO337" s="71">
        <v>10814705.226</v>
      </c>
      <c r="AP337" s="71">
        <v>10804795.926999999</v>
      </c>
      <c r="AQ337" s="71">
        <v>10734955.115</v>
      </c>
      <c r="AR337" s="71">
        <v>10635237.844000001</v>
      </c>
      <c r="AS337" s="71">
        <v>10485765.99</v>
      </c>
    </row>
    <row r="338" spans="1:45">
      <c r="A338" s="229" t="s">
        <v>347</v>
      </c>
      <c r="B338" s="410"/>
      <c r="C338" s="398"/>
      <c r="D338" s="401"/>
      <c r="E338" s="71">
        <v>7092386</v>
      </c>
      <c r="F338" s="71">
        <v>7323298.1941950433</v>
      </c>
      <c r="G338" s="71">
        <v>7597469.0227570124</v>
      </c>
      <c r="H338" s="71">
        <v>7630048.3662</v>
      </c>
      <c r="I338" s="71">
        <v>7675935.8215999994</v>
      </c>
      <c r="J338" s="71">
        <v>7821823.2769999998</v>
      </c>
      <c r="K338" s="71">
        <v>7963954.7680000002</v>
      </c>
      <c r="L338" s="71">
        <v>8106086.2589999996</v>
      </c>
      <c r="M338" s="71">
        <v>8248217.75</v>
      </c>
      <c r="N338" s="71">
        <v>8390349.2410000004</v>
      </c>
      <c r="O338" s="71">
        <v>8532480.7320000008</v>
      </c>
      <c r="P338" s="71">
        <v>8672226.4499999993</v>
      </c>
      <c r="Q338" s="71">
        <v>8811972.1680000015</v>
      </c>
      <c r="R338" s="71">
        <v>8951717.8859999999</v>
      </c>
      <c r="S338" s="71">
        <v>9091463.6040000003</v>
      </c>
      <c r="T338" s="71">
        <v>9231209.3220000006</v>
      </c>
      <c r="U338" s="71">
        <v>9366926.0416000001</v>
      </c>
      <c r="V338" s="71">
        <v>9502642.7611999996</v>
      </c>
      <c r="W338" s="71">
        <v>9638359.480800001</v>
      </c>
      <c r="X338" s="71">
        <v>9774076.2004000004</v>
      </c>
      <c r="Y338" s="71">
        <v>9909792.9199999999</v>
      </c>
      <c r="Z338" s="71">
        <v>10048088.129000001</v>
      </c>
      <c r="AA338" s="71">
        <v>10186383.338</v>
      </c>
      <c r="AB338" s="71">
        <v>10324678.547</v>
      </c>
      <c r="AC338" s="71">
        <v>10462973.755999999</v>
      </c>
      <c r="AD338" s="71">
        <v>10601268.965</v>
      </c>
      <c r="AE338" s="71">
        <v>10722779.4748</v>
      </c>
      <c r="AF338" s="71">
        <v>10844289.9846</v>
      </c>
      <c r="AG338" s="71">
        <v>10965800.4944</v>
      </c>
      <c r="AH338" s="71">
        <v>11087311.0042</v>
      </c>
      <c r="AI338" s="71">
        <v>11208821.514</v>
      </c>
      <c r="AJ338" s="71">
        <v>11778554.563999999</v>
      </c>
      <c r="AK338" s="71">
        <v>12277927.434</v>
      </c>
      <c r="AL338" s="71">
        <v>12742234.323999999</v>
      </c>
      <c r="AM338" s="71">
        <v>13146355.104</v>
      </c>
      <c r="AN338" s="71">
        <v>13506997.284</v>
      </c>
      <c r="AO338" s="71">
        <v>13818398.694</v>
      </c>
      <c r="AP338" s="71">
        <v>14070451.153999999</v>
      </c>
      <c r="AQ338" s="71">
        <v>14273832.454</v>
      </c>
      <c r="AR338" s="71">
        <v>14433604.384</v>
      </c>
      <c r="AS338" s="71">
        <v>14576665.403999999</v>
      </c>
    </row>
    <row r="339" spans="1:45">
      <c r="A339" s="229" t="s">
        <v>351</v>
      </c>
      <c r="B339" s="410"/>
      <c r="C339" s="398"/>
      <c r="D339" s="401"/>
      <c r="E339" s="71">
        <v>7092386</v>
      </c>
      <c r="F339" s="71">
        <v>7323298.1941950433</v>
      </c>
      <c r="G339" s="71">
        <v>7597469.0227570124</v>
      </c>
      <c r="H339" s="71">
        <v>7688356.9698000001</v>
      </c>
      <c r="I339" s="71">
        <v>7793680.6263999986</v>
      </c>
      <c r="J339" s="71">
        <v>7969004.2829999998</v>
      </c>
      <c r="K339" s="71">
        <v>8159118.9915999994</v>
      </c>
      <c r="L339" s="71">
        <v>8349233.7001999998</v>
      </c>
      <c r="M339" s="71">
        <v>8539348.4087999985</v>
      </c>
      <c r="N339" s="71">
        <v>8729463.1173999999</v>
      </c>
      <c r="O339" s="71">
        <v>8919577.8259999994</v>
      </c>
      <c r="P339" s="71">
        <v>9115318.0789999999</v>
      </c>
      <c r="Q339" s="71">
        <v>9311058.3320000004</v>
      </c>
      <c r="R339" s="71">
        <v>9506798.584999999</v>
      </c>
      <c r="S339" s="71">
        <v>9702538.8379999995</v>
      </c>
      <c r="T339" s="71">
        <v>9898279.091</v>
      </c>
      <c r="U339" s="71">
        <v>10097226.289000001</v>
      </c>
      <c r="V339" s="71">
        <v>10296173.487</v>
      </c>
      <c r="W339" s="71">
        <v>10495120.685000001</v>
      </c>
      <c r="X339" s="71">
        <v>10694067.882999999</v>
      </c>
      <c r="Y339" s="71">
        <v>10893015.081</v>
      </c>
      <c r="Z339" s="71">
        <v>11100252.943</v>
      </c>
      <c r="AA339" s="71">
        <v>11307490.805</v>
      </c>
      <c r="AB339" s="71">
        <v>11514728.666999999</v>
      </c>
      <c r="AC339" s="71">
        <v>11721966.528999999</v>
      </c>
      <c r="AD339" s="71">
        <v>11929204.391000001</v>
      </c>
      <c r="AE339" s="71">
        <v>12120198.887</v>
      </c>
      <c r="AF339" s="71">
        <v>12311193.382999999</v>
      </c>
      <c r="AG339" s="71">
        <v>12502187.879000001</v>
      </c>
      <c r="AH339" s="71">
        <v>12693182.375</v>
      </c>
      <c r="AI339" s="71">
        <v>12884176.870999999</v>
      </c>
      <c r="AJ339" s="71">
        <v>13769172.191</v>
      </c>
      <c r="AK339" s="71">
        <v>14590130.151000001</v>
      </c>
      <c r="AL339" s="71">
        <v>15428253.870999999</v>
      </c>
      <c r="AM339" s="71">
        <v>16201654.251</v>
      </c>
      <c r="AN339" s="71">
        <v>16981081.660999998</v>
      </c>
      <c r="AO339" s="71">
        <v>17756665.780999999</v>
      </c>
      <c r="AP339" s="71">
        <v>18420350.280999999</v>
      </c>
      <c r="AQ339" s="71">
        <v>18975000.511</v>
      </c>
      <c r="AR339" s="71">
        <v>19482760.870999999</v>
      </c>
      <c r="AS339" s="71">
        <v>19838660.331</v>
      </c>
    </row>
    <row r="340" spans="1:45">
      <c r="A340" s="229" t="s">
        <v>352</v>
      </c>
      <c r="B340" s="410"/>
      <c r="C340" s="398"/>
      <c r="D340" s="401"/>
      <c r="E340" s="71">
        <v>7092386</v>
      </c>
      <c r="F340" s="71">
        <v>7323298.1941950433</v>
      </c>
      <c r="G340" s="71">
        <v>7597469.0227570124</v>
      </c>
      <c r="H340" s="71">
        <v>7690217.0395999998</v>
      </c>
      <c r="I340" s="71">
        <v>7769494.0527999997</v>
      </c>
      <c r="J340" s="71">
        <v>7938771.0659999996</v>
      </c>
      <c r="K340" s="71">
        <v>8122126.0707999999</v>
      </c>
      <c r="L340" s="71">
        <v>8305481.0756000001</v>
      </c>
      <c r="M340" s="71">
        <v>8488836.0804000013</v>
      </c>
      <c r="N340" s="71">
        <v>8672191.0852000006</v>
      </c>
      <c r="O340" s="71">
        <v>8855546.0899999999</v>
      </c>
      <c r="P340" s="71">
        <v>9040704.4488000013</v>
      </c>
      <c r="Q340" s="71">
        <v>9225862.807599999</v>
      </c>
      <c r="R340" s="71">
        <v>9411021.1664000005</v>
      </c>
      <c r="S340" s="71">
        <v>9596179.5252000019</v>
      </c>
      <c r="T340" s="71">
        <v>9781337.8839999996</v>
      </c>
      <c r="U340" s="71">
        <v>9970184.4770000018</v>
      </c>
      <c r="V340" s="71">
        <v>10159031.07</v>
      </c>
      <c r="W340" s="71">
        <v>10347877.663000001</v>
      </c>
      <c r="X340" s="71">
        <v>10536724.255999999</v>
      </c>
      <c r="Y340" s="71">
        <v>10725570.848999999</v>
      </c>
      <c r="Z340" s="71">
        <v>10919297.885</v>
      </c>
      <c r="AA340" s="71">
        <v>11113024.921</v>
      </c>
      <c r="AB340" s="71">
        <v>11306751.957</v>
      </c>
      <c r="AC340" s="71">
        <v>11500478.993000001</v>
      </c>
      <c r="AD340" s="71">
        <v>11694206.028999999</v>
      </c>
      <c r="AE340" s="71">
        <v>11870164.323000001</v>
      </c>
      <c r="AF340" s="71">
        <v>12046122.617000001</v>
      </c>
      <c r="AG340" s="71">
        <v>12222080.911</v>
      </c>
      <c r="AH340" s="71">
        <v>12398039.205</v>
      </c>
      <c r="AI340" s="71">
        <v>12573997.499</v>
      </c>
      <c r="AJ340" s="71">
        <v>13376169.358999999</v>
      </c>
      <c r="AK340" s="71">
        <v>14159784.688999999</v>
      </c>
      <c r="AL340" s="71">
        <v>14968133.469000001</v>
      </c>
      <c r="AM340" s="71">
        <v>15700628.688999999</v>
      </c>
      <c r="AN340" s="71">
        <v>16440150.179</v>
      </c>
      <c r="AO340" s="71">
        <v>17150013.638999999</v>
      </c>
      <c r="AP340" s="71">
        <v>17805119.669</v>
      </c>
      <c r="AQ340" s="71">
        <v>18362546.368999999</v>
      </c>
      <c r="AR340" s="71">
        <v>18869868.949000001</v>
      </c>
      <c r="AS340" s="71">
        <v>19338339.708999999</v>
      </c>
    </row>
    <row r="341" spans="1:45">
      <c r="A341" s="229" t="s">
        <v>353</v>
      </c>
      <c r="B341" s="395"/>
      <c r="C341" s="399"/>
      <c r="D341" s="402"/>
      <c r="E341" s="71">
        <v>7092386</v>
      </c>
      <c r="F341" s="71">
        <v>7323298.1941950433</v>
      </c>
      <c r="G341" s="71">
        <v>7597469.0227570124</v>
      </c>
      <c r="H341" s="71">
        <v>7608002.6182000004</v>
      </c>
      <c r="I341" s="71">
        <v>7643208.1575999996</v>
      </c>
      <c r="J341" s="71">
        <v>7678413.6969999997</v>
      </c>
      <c r="K341" s="71">
        <v>7711423.0071999999</v>
      </c>
      <c r="L341" s="71">
        <v>7804432.3174000001</v>
      </c>
      <c r="M341" s="71">
        <v>7897441.6275999993</v>
      </c>
      <c r="N341" s="71">
        <v>7990450.9377999986</v>
      </c>
      <c r="O341" s="71">
        <v>8083460.2479999997</v>
      </c>
      <c r="P341" s="71">
        <v>8171854.4727999996</v>
      </c>
      <c r="Q341" s="71">
        <v>8260248.6975999996</v>
      </c>
      <c r="R341" s="71">
        <v>8348642.9223999996</v>
      </c>
      <c r="S341" s="71">
        <v>8437037.1471999995</v>
      </c>
      <c r="T341" s="71">
        <v>8525431.3719999995</v>
      </c>
      <c r="U341" s="71">
        <v>8611751.4699999988</v>
      </c>
      <c r="V341" s="71">
        <v>8698071.568</v>
      </c>
      <c r="W341" s="71">
        <v>8784391.6659999993</v>
      </c>
      <c r="X341" s="71">
        <v>8870711.7639999986</v>
      </c>
      <c r="Y341" s="71">
        <v>8957031.8619999997</v>
      </c>
      <c r="Z341" s="71">
        <v>9031636.6195999999</v>
      </c>
      <c r="AA341" s="71">
        <v>9106241.3772</v>
      </c>
      <c r="AB341" s="71">
        <v>9180846.1347999983</v>
      </c>
      <c r="AC341" s="71">
        <v>9255450.8924000002</v>
      </c>
      <c r="AD341" s="71">
        <v>9330055.6499999985</v>
      </c>
      <c r="AE341" s="71">
        <v>9387521.5015999991</v>
      </c>
      <c r="AF341" s="71">
        <v>9444987.3531999998</v>
      </c>
      <c r="AG341" s="71">
        <v>9502453.2048000004</v>
      </c>
      <c r="AH341" s="71">
        <v>9559919.0563999992</v>
      </c>
      <c r="AI341" s="71">
        <v>9617384.9079999998</v>
      </c>
      <c r="AJ341" s="71">
        <v>9845821.2699999996</v>
      </c>
      <c r="AK341" s="71">
        <v>10012708.177999999</v>
      </c>
      <c r="AL341" s="71">
        <v>10140467.747</v>
      </c>
      <c r="AM341" s="71">
        <v>10237221.491</v>
      </c>
      <c r="AN341" s="71">
        <v>10289259.331</v>
      </c>
      <c r="AO341" s="71">
        <v>10290853.050000001</v>
      </c>
      <c r="AP341" s="71">
        <v>10263871.918</v>
      </c>
      <c r="AQ341" s="71">
        <v>10195172.489</v>
      </c>
      <c r="AR341" s="71">
        <v>10092812.698999999</v>
      </c>
      <c r="AS341" s="71">
        <v>9954733.3909999989</v>
      </c>
    </row>
    <row r="343" spans="1:45" ht="14.4" thickBot="1"/>
    <row r="344" spans="1:45">
      <c r="A344" s="16" t="s">
        <v>20</v>
      </c>
      <c r="B344" s="4" t="s">
        <v>47</v>
      </c>
    </row>
    <row r="345" spans="1:45" ht="27.6">
      <c r="A345" s="123" t="s">
        <v>354</v>
      </c>
      <c r="B345" s="147" t="s">
        <v>355</v>
      </c>
    </row>
    <row r="346" spans="1:45" ht="27.6">
      <c r="A346" s="123" t="s">
        <v>356</v>
      </c>
      <c r="B346" s="147" t="s">
        <v>357</v>
      </c>
    </row>
    <row r="347" spans="1:45" ht="27.6">
      <c r="A347" s="123" t="s">
        <v>358</v>
      </c>
      <c r="B347" s="147" t="s">
        <v>359</v>
      </c>
    </row>
    <row r="348" spans="1:45" ht="96.6">
      <c r="A348" s="123" t="s">
        <v>348</v>
      </c>
      <c r="B348" s="147" t="s">
        <v>360</v>
      </c>
    </row>
  </sheetData>
  <mergeCells count="8">
    <mergeCell ref="C337:C341"/>
    <mergeCell ref="D337:D341"/>
    <mergeCell ref="A4:A104"/>
    <mergeCell ref="A109:A209"/>
    <mergeCell ref="A214:A314"/>
    <mergeCell ref="A319:A320"/>
    <mergeCell ref="A331:A332"/>
    <mergeCell ref="B337:B341"/>
  </mergeCells>
  <hyperlinks>
    <hyperlink ref="B348" r:id="rId1" xr:uid="{FFC6E58B-F92F-4108-94D3-9716C4025F44}"/>
    <hyperlink ref="B346" r:id="rId2" xr:uid="{FE358C1C-1C01-48CA-91B2-7C51F9EAB663}"/>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21</vt:i4>
      </vt:variant>
    </vt:vector>
  </HeadingPairs>
  <TitlesOfParts>
    <vt:vector size="39" baseType="lpstr">
      <vt:lpstr>0.Cover page</vt:lpstr>
      <vt:lpstr>1.IUWMA Overview</vt:lpstr>
      <vt:lpstr>2.IUWMA Energy_MP</vt:lpstr>
      <vt:lpstr>3.IUWMA Water_MP</vt:lpstr>
      <vt:lpstr>4.IUWMA Land_MP</vt:lpstr>
      <vt:lpstr>5.IUWMA Economic_MP</vt:lpstr>
      <vt:lpstr>6.IUWMA Population_MP</vt:lpstr>
      <vt:lpstr>7.Songwe Overview</vt:lpstr>
      <vt:lpstr>9.Songwe Water_MP</vt:lpstr>
      <vt:lpstr>10.Songwe Land_MP</vt:lpstr>
      <vt:lpstr>11.Songwe Economic_MP</vt:lpstr>
      <vt:lpstr>12.Songwe Population_MP</vt:lpstr>
      <vt:lpstr>13.Bani Overview</vt:lpstr>
      <vt:lpstr>14.Bani Energy_MP</vt:lpstr>
      <vt:lpstr>15.Bani Water_MP</vt:lpstr>
      <vt:lpstr>16.Bani Land_MP</vt:lpstr>
      <vt:lpstr>17.Bani Economic_MP</vt:lpstr>
      <vt:lpstr>18.Bani Population_MP</vt:lpstr>
      <vt:lpstr>BIRTH_RATIO</vt:lpstr>
      <vt:lpstr>COMPENSATION_OF_EMPLOYEES_CTE</vt:lpstr>
      <vt:lpstr>FEMALE_MORTALITY</vt:lpstr>
      <vt:lpstr>FERTILITY_RATE</vt:lpstr>
      <vt:lpstr>GOVERNMENT_EXPENDITURE</vt:lpstr>
      <vt:lpstr>HH_CONSUMPTION</vt:lpstr>
      <vt:lpstr>HISTORICAL_TAXES_LESS_SUBSIDIES</vt:lpstr>
      <vt:lpstr>INITIAL_POPULATION</vt:lpstr>
      <vt:lpstr>INVESTMENT</vt:lpstr>
      <vt:lpstr>LABOUR_SHARE</vt:lpstr>
      <vt:lpstr>MALE_MORTALITY</vt:lpstr>
      <vt:lpstr>NET_EXPORTS</vt:lpstr>
      <vt:lpstr>SCENARIO_TIME_POP</vt:lpstr>
      <vt:lpstr>SECTOR_SHARE</vt:lpstr>
      <vt:lpstr>SSP1_POPULATION</vt:lpstr>
      <vt:lpstr>SSP2_POPULATION</vt:lpstr>
      <vt:lpstr>SSP3_POPULATION</vt:lpstr>
      <vt:lpstr>SSP4_POPULATION</vt:lpstr>
      <vt:lpstr>SSP5_POPULATION</vt:lpstr>
      <vt:lpstr>TIME_ECO</vt:lpstr>
      <vt:lpstr>TIME_POP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Adrián Mateo Martínez - CARTIF</dc:creator>
  <cp:lastModifiedBy>raqlop</cp:lastModifiedBy>
  <dcterms:created xsi:type="dcterms:W3CDTF">2025-05-19T10:38:23Z</dcterms:created>
  <dcterms:modified xsi:type="dcterms:W3CDTF">2025-05-22T13:31:24Z</dcterms:modified>
</cp:coreProperties>
</file>